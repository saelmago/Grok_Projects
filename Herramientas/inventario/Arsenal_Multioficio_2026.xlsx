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" sheetId="2" state="visible" r:id="rId2"/>
    <sheet name="Pendientes" sheetId="3" state="visible" r:id="rId3"/>
    <sheet name="Consumibles" sheetId="4" state="visible" r:id="rId4"/>
  </sheets>
  <definedNames>
    <definedName name="_xlnm._FilterDatabase" localSheetId="1" hidden="1">'Inventario'!$A$4:$K$52</definedName>
    <definedName name="_xlnm._FilterDatabase" localSheetId="2" hidden="1">'Pendientes'!$A$4:$I$10</definedName>
    <definedName name="_xlnm._FilterDatabase" localSheetId="3" hidden="1">'Consumibles'!$A$4:$L$18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"/>
  </numFmts>
  <fonts count="15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4B5563"/>
      <sz val="10"/>
    </font>
    <font>
      <name val="Arial"/>
      <b val="1"/>
      <sz val="10"/>
    </font>
    <font>
      <name val="Arial"/>
      <b val="1"/>
      <color rgb="001E3A5F"/>
      <sz val="12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  <font>
      <name val="Consolas"/>
      <b val="1"/>
      <sz val="10"/>
    </font>
    <font>
      <name val="Arial"/>
      <color rgb="000563C1"/>
      <sz val="10"/>
      <u val="single"/>
    </font>
    <font>
      <name val="Arial"/>
      <color rgb="006B7280"/>
      <sz val="8"/>
    </font>
    <font>
      <name val="Arial"/>
      <b val="1"/>
      <color rgb="00B45309"/>
      <sz val="11"/>
    </font>
    <font>
      <name val="Arial"/>
      <color rgb="004B5563"/>
      <sz val="9"/>
    </font>
    <font>
      <name val="Arial"/>
      <b val="1"/>
      <sz val="12"/>
    </font>
    <font>
      <name val="Arial"/>
      <color rgb="00374151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4338CA"/>
      </patternFill>
    </fill>
    <fill>
      <patternFill patternType="solid">
        <fgColor rgb="00FECACA"/>
      </patternFill>
    </fill>
    <fill>
      <patternFill patternType="solid">
        <fgColor rgb="00DDD6FE"/>
      </patternFill>
    </fill>
    <fill>
      <patternFill patternType="solid">
        <fgColor rgb="00D1FAE5"/>
      </patternFill>
    </fill>
    <fill>
      <patternFill patternType="solid">
        <fgColor rgb="00BFDBFE"/>
      </patternFill>
    </fill>
    <fill>
      <patternFill patternType="solid">
        <fgColor rgb="00FDE68A"/>
      </patternFill>
    </fill>
    <fill>
      <patternFill patternType="solid">
        <fgColor rgb="00FBCFE8"/>
      </patternFill>
    </fill>
    <fill>
      <patternFill patternType="solid">
        <fgColor rgb="00E0E7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16" borderId="1" pivotButton="0" quotePrefix="0" xfId="0"/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6" fillId="2" borderId="1" pivotButton="0" quotePrefix="0" xfId="0"/>
    <xf numFmtId="0" fontId="7" fillId="0" borderId="1" pivotButton="0" quotePrefix="0" xfId="0"/>
    <xf numFmtId="0" fontId="9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pivotButton="0" quotePrefix="0" xfId="0"/>
    <xf numFmtId="164" fontId="7" fillId="7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164" fontId="11" fillId="7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lwaukeetool.com/" TargetMode="External" Id="rId1" /><Relationship Type="http://schemas.openxmlformats.org/officeDocument/2006/relationships/hyperlink" Target="https://www.kleintools.com/" TargetMode="External" Id="rId2" /><Relationship Type="http://schemas.openxmlformats.org/officeDocument/2006/relationships/hyperlink" Target="https://www.knipex.com/" TargetMode="External" Id="rId3" /><Relationship Type="http://schemas.openxmlformats.org/officeDocument/2006/relationships/hyperlink" Target="https://www.wera.de/en" TargetMode="External" Id="rId4" /><Relationship Type="http://schemas.openxmlformats.org/officeDocument/2006/relationships/hyperlink" Target="https://holstery.com/" TargetMode="External" Id="rId5" /><Relationship Type="http://schemas.openxmlformats.org/officeDocument/2006/relationships/hyperlink" Target="https://huepar.com/" TargetMode="External" Id="rId6" /><Relationship Type="http://schemas.openxmlformats.org/officeDocument/2006/relationships/hyperlink" Target="https://www.lexivon.com/" TargetMode="External" Id="rId7" /><Relationship Type="http://schemas.openxmlformats.org/officeDocument/2006/relationships/hyperlink" Target="https://www.skil.com/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ilwaukeetool.com/Products/Power-Tools/Plumbing/Pumps/M12-FUEL-Stick-Transfer-Pump/2579-20" TargetMode="External" Id="rId1" /><Relationship Type="http://schemas.openxmlformats.org/officeDocument/2006/relationships/hyperlink" Target="https://www.milwaukeetool.com/Products/Power-Tools/Plumbing/Pumps/M12-FUEL-Stick-Transfer-Pump/2579-20" TargetMode="External" Id="rId2" /><Relationship Type="http://schemas.openxmlformats.org/officeDocument/2006/relationships/hyperlink" Target="https://www.milwaukeetool.com/Products/Hand-Tools/Plumbing/Wrenches/Faucet-and-Sink-Installer/48-22-7100" TargetMode="External" Id="rId3" /><Relationship Type="http://schemas.openxmlformats.org/officeDocument/2006/relationships/hyperlink" Target="https://www.milwaukeetool.com/Products/Hand-Tools/Plumbing/Wrenches/Faucet-and-Sink-Installer/48-22-7100" TargetMode="External" Id="rId4" /><Relationship Type="http://schemas.openxmlformats.org/officeDocument/2006/relationships/hyperlink" Target="https://www.knipex.com/products/water-pump-pliers-and-pipe-wrenches/water-pump-pliers/knipex-cobra-water-pump-pliers/8702250" TargetMode="External" Id="rId5" /><Relationship Type="http://schemas.openxmlformats.org/officeDocument/2006/relationships/hyperlink" Target="https://www.knipex.com/products/water-pump-pliers-and-pipe-wrenches/water-pump-pliers/knipex-cobra-water-pump-pliers/8702250" TargetMode="External" Id="rId6" /><Relationship Type="http://schemas.openxmlformats.org/officeDocument/2006/relationships/hyperlink" Target="https://www.knipex.com/products/pliers/front-and-side-gripping-pliers/knipex-twingrip-front-and-side-gripping-pliers/8201200" TargetMode="External" Id="rId7" /><Relationship Type="http://schemas.openxmlformats.org/officeDocument/2006/relationships/hyperlink" Target="https://www.knipex.com/products/pliers/front-and-side-gripping-pliers/knipex-twingrip-front-and-side-gripping-pliers/8201200" TargetMode="External" Id="rId8" /><Relationship Type="http://schemas.openxmlformats.org/officeDocument/2006/relationships/hyperlink" Target="https://www.knipex.com/products/pliers-wrenches-and-pipe-wrenches/pliers-wrenches/pliers-wrench-pliers-and-a-wrench-in-a-single-tool/8601250" TargetMode="External" Id="rId9" /><Relationship Type="http://schemas.openxmlformats.org/officeDocument/2006/relationships/hyperlink" Target="https://www.knipex.com/products/pliers-wrenches-and-pipe-wrenches/pliers-wrenches/pliers-wrench-pliers-and-a-wrench-in-a-single-tool/8601250" TargetMode="External" Id="rId10" /><Relationship Type="http://schemas.openxmlformats.org/officeDocument/2006/relationships/hyperlink" Target="https://www.wera.de/en/tools/tool-types/wrench/joker-adjustable-open-end-wrenches" TargetMode="External" Id="rId11" /><Relationship Type="http://schemas.openxmlformats.org/officeDocument/2006/relationships/hyperlink" Target="https://www.wera.de/en/tools/tool-types/wrench/joker-adjustable-open-end-wrenches" TargetMode="External" Id="rId12" /><Relationship Type="http://schemas.openxmlformats.org/officeDocument/2006/relationships/hyperlink" Target="https://www.kleintools.com/catalog/electrical-testers/dual-range-non-contact-voltage-tester-flashlight-12-1000v-ac" TargetMode="External" Id="rId13" /><Relationship Type="http://schemas.openxmlformats.org/officeDocument/2006/relationships/hyperlink" Target="https://www.kleintools.com/catalog/electrical-testers/dual-range-non-contact-voltage-tester-flashlight-12-1000v-ac" TargetMode="External" Id="rId14" /><Relationship Type="http://schemas.openxmlformats.org/officeDocument/2006/relationships/hyperlink" Target="https://www.kleintools.com/catalog/electrical-testers/gfci-receptacle-tester-lcd" TargetMode="External" Id="rId15" /><Relationship Type="http://schemas.openxmlformats.org/officeDocument/2006/relationships/hyperlink" Target="https://www.kleintools.com/catalog/electrical-testers/gfci-receptacle-tester-lcd" TargetMode="External" Id="rId16" /><Relationship Type="http://schemas.openxmlformats.org/officeDocument/2006/relationships/hyperlink" Target="https://www.kleintools.com/catalog/electrical-testers/digital-circuit-breaker-finder-gfci-outlet-tester" TargetMode="External" Id="rId17" /><Relationship Type="http://schemas.openxmlformats.org/officeDocument/2006/relationships/hyperlink" Target="https://www.kleintools.com/catalog/electrical-testers/digital-circuit-breaker-finder-gfci-outlet-tester" TargetMode="External" Id="rId18" /><Relationship Type="http://schemas.openxmlformats.org/officeDocument/2006/relationships/hyperlink" Target="https://www.kleintools.com/catalog/tone-probe/tone-probe-test-and-trace-kit" TargetMode="External" Id="rId19" /><Relationship Type="http://schemas.openxmlformats.org/officeDocument/2006/relationships/hyperlink" Target="https://www.kleintools.com/catalog/tone-probe/tone-probe-test-and-trace-kit" TargetMode="External" Id="rId20" /><Relationship Type="http://schemas.openxmlformats.org/officeDocument/2006/relationships/hyperlink" Target="https://www.kleintools.com/catalog/electricians-screwdrivers/6-1-insulated-auto-lock-screwdriver" TargetMode="External" Id="rId21" /><Relationship Type="http://schemas.openxmlformats.org/officeDocument/2006/relationships/hyperlink" Target="https://www.kleintools.com/catalog/electricians-screwdrivers/6-1-insulated-auto-lock-screwdriver" TargetMode="External" Id="rId22" /><Relationship Type="http://schemas.openxmlformats.org/officeDocument/2006/relationships/hyperlink" Target="https://www.kleintools.com/catalog/electricians-pliers/insulated-pliers-side-cutters-9-inch" TargetMode="External" Id="rId23" /><Relationship Type="http://schemas.openxmlformats.org/officeDocument/2006/relationships/hyperlink" Target="https://www.kleintools.com/catalog/electricians-pliers/insulated-pliers-side-cutters-9-inch" TargetMode="External" Id="rId24" /><Relationship Type="http://schemas.openxmlformats.org/officeDocument/2006/relationships/hyperlink" Target="https://www.kleintools.com/catalog/electricians-pliers/diagonal-cutting-pliers-insulated-high-leverage-8-inch" TargetMode="External" Id="rId25" /><Relationship Type="http://schemas.openxmlformats.org/officeDocument/2006/relationships/hyperlink" Target="https://www.kleintools.com/catalog/electricians-pliers/diagonal-cutting-pliers-insulated-high-leverage-8-inch" TargetMode="External" Id="rId26" /><Relationship Type="http://schemas.openxmlformats.org/officeDocument/2006/relationships/hyperlink" Target="https://www.kleintools.com/catalog/insulated-pliers/pliers-long-nose-side-cutters-insulated-8-inch" TargetMode="External" Id="rId27" /><Relationship Type="http://schemas.openxmlformats.org/officeDocument/2006/relationships/hyperlink" Target="https://www.kleintools.com/catalog/insulated-pliers/pliers-long-nose-side-cutters-insulated-8-inch" TargetMode="External" Id="rId28" /><Relationship Type="http://schemas.openxmlformats.org/officeDocument/2006/relationships/hyperlink" Target="https://www.kleintools.com/catalog/electricians-cutting-and-crimping-tools/insulated-klein-kurve-wire-stripper-and-cutter" TargetMode="External" Id="rId29" /><Relationship Type="http://schemas.openxmlformats.org/officeDocument/2006/relationships/hyperlink" Target="https://www.kleintools.com/catalog/electricians-cutting-and-crimping-tools/insulated-klein-kurve-wire-stripper-and-cutter" TargetMode="External" Id="rId30" /><Relationship Type="http://schemas.openxmlformats.org/officeDocument/2006/relationships/hyperlink" Target="https://www.kleintools.com/catalog/electricians-tool-sets/8-1-insulated-interchangeable-screwdriver-set" TargetMode="External" Id="rId31" /><Relationship Type="http://schemas.openxmlformats.org/officeDocument/2006/relationships/hyperlink" Target="https://www.kleintools.com/catalog/electricians-tool-sets/8-1-insulated-interchangeable-screwdriver-set" TargetMode="External" Id="rId32" /><Relationship Type="http://schemas.openxmlformats.org/officeDocument/2006/relationships/hyperlink" Target="https://www.kleintools.com/catalog/electricians-cutting-and-crimping-tools/crimping-and-cutting-tool-connectors-insulated" TargetMode="External" Id="rId33" /><Relationship Type="http://schemas.openxmlformats.org/officeDocument/2006/relationships/hyperlink" Target="https://www.kleintools.com/catalog/electricians-cutting-and-crimping-tools/crimping-and-cutting-tool-connectors-insulated" TargetMode="External" Id="rId34" /><Relationship Type="http://schemas.openxmlformats.org/officeDocument/2006/relationships/hyperlink" Target="https://www.kleintools.com/catalog/multi-bit-screwdrivers/adjustable-screwdriver-2-phillips-14-inch-slotted" TargetMode="External" Id="rId35" /><Relationship Type="http://schemas.openxmlformats.org/officeDocument/2006/relationships/hyperlink" Target="https://www.kleintools.com/catalog/multi-bit-screwdrivers/adjustable-screwdriver-2-phillips-14-inch-slotted" TargetMode="External" Id="rId36" /><Relationship Type="http://schemas.openxmlformats.org/officeDocument/2006/relationships/hyperlink" Target="https://www.kleintools.com/catalog/impact-socket-sets/grab-and-go-impact-socket-set-metric-10-piece" TargetMode="External" Id="rId37" /><Relationship Type="http://schemas.openxmlformats.org/officeDocument/2006/relationships/hyperlink" Target="https://www.kleintools.com/catalog/impact-socket-sets/grab-and-go-impact-socket-set-metric-10-piece" TargetMode="External" Id="rId38" /><Relationship Type="http://schemas.openxmlformats.org/officeDocument/2006/relationships/hyperlink" Target="https://www.milwaukeetool.com/Products/Power-Tools/Drilling/Installation-Drill-Drivers/M12-FUEL-Installation-Drill-Driver/2505-20" TargetMode="External" Id="rId39" /><Relationship Type="http://schemas.openxmlformats.org/officeDocument/2006/relationships/hyperlink" Target="https://www.milwaukeetool.com/Products/Power-Tools/Drilling/Installation-Drill-Drivers/M12-FUEL-Installation-Drill-Driver/2505-20" TargetMode="External" Id="rId40" /><Relationship Type="http://schemas.openxmlformats.org/officeDocument/2006/relationships/hyperlink" Target="https://www.milwaukeetool.com/Search?q=2563-20" TargetMode="External" Id="rId41" /><Relationship Type="http://schemas.openxmlformats.org/officeDocument/2006/relationships/hyperlink" Target="https://www.milwaukeetool.com/Search?q=2563-20" TargetMode="External" Id="rId42" /><Relationship Type="http://schemas.openxmlformats.org/officeDocument/2006/relationships/hyperlink" Target="https://www.milwaukeetool.com/Search?q=3404-20" TargetMode="External" Id="rId43" /><Relationship Type="http://schemas.openxmlformats.org/officeDocument/2006/relationships/hyperlink" Target="https://www.milwaukeetool.com/Search?q=3404-20" TargetMode="External" Id="rId44" /><Relationship Type="http://schemas.openxmlformats.org/officeDocument/2006/relationships/hyperlink" Target="https://www.milwaukeetool.com/Search?q=3453-20" TargetMode="External" Id="rId45" /><Relationship Type="http://schemas.openxmlformats.org/officeDocument/2006/relationships/hyperlink" Target="https://www.milwaukeetool.com/Search?q=3453-20" TargetMode="External" Id="rId46" /><Relationship Type="http://schemas.openxmlformats.org/officeDocument/2006/relationships/hyperlink" Target="https://www.milwaukeetool.com/Search?q=2526-20" TargetMode="External" Id="rId47" /><Relationship Type="http://schemas.openxmlformats.org/officeDocument/2006/relationships/hyperlink" Target="https://www.milwaukeetool.com/Search?q=2526-20" TargetMode="External" Id="rId48" /><Relationship Type="http://schemas.openxmlformats.org/officeDocument/2006/relationships/hyperlink" Target="https://www.milwaukeetool.com/Search?q=2367-20" TargetMode="External" Id="rId49" /><Relationship Type="http://schemas.openxmlformats.org/officeDocument/2006/relationships/hyperlink" Target="https://www.milwaukeetool.com/Search?q=2367-20" TargetMode="External" Id="rId50" /><Relationship Type="http://schemas.openxmlformats.org/officeDocument/2006/relationships/hyperlink" Target="https://www.milwaukeetool.com/Search?q=2522-20" TargetMode="External" Id="rId51" /><Relationship Type="http://schemas.openxmlformats.org/officeDocument/2006/relationships/hyperlink" Target="https://www.milwaukeetool.com/Search?q=2522-20" TargetMode="External" Id="rId52" /><Relationship Type="http://schemas.openxmlformats.org/officeDocument/2006/relationships/hyperlink" Target="https://www.milwaukeetool.com/Search?q=2719-20" TargetMode="External" Id="rId53" /><Relationship Type="http://schemas.openxmlformats.org/officeDocument/2006/relationships/hyperlink" Target="https://www.milwaukeetool.com/Search?q=2719-20" TargetMode="External" Id="rId54" /><Relationship Type="http://schemas.openxmlformats.org/officeDocument/2006/relationships/hyperlink" Target="https://www.milwaukeetool.com/Products/Power-Tools/Batteries-Chargers/Batteries" TargetMode="External" Id="rId55" /><Relationship Type="http://schemas.openxmlformats.org/officeDocument/2006/relationships/hyperlink" Target="https://www.milwaukeetool.com/Products/Power-Tools/Batteries-Chargers/Batteries" TargetMode="External" Id="rId56" /><Relationship Type="http://schemas.openxmlformats.org/officeDocument/2006/relationships/hyperlink" Target="https://www.milwaukeetool.com/Products/Power-Tools/Batteries-Chargers/Batteries" TargetMode="External" Id="rId57" /><Relationship Type="http://schemas.openxmlformats.org/officeDocument/2006/relationships/hyperlink" Target="https://www.milwaukeetool.com/Products/Power-Tools/Batteries-Chargers/Batteries" TargetMode="External" Id="rId58" /><Relationship Type="http://schemas.openxmlformats.org/officeDocument/2006/relationships/hyperlink" Target="https://www.milwaukeetool.com/Products/Power-Tools/Batteries-Chargers/Batteries" TargetMode="External" Id="rId59" /><Relationship Type="http://schemas.openxmlformats.org/officeDocument/2006/relationships/hyperlink" Target="https://www.milwaukeetool.com/Products/Power-Tools/Batteries-Chargers/Batteries" TargetMode="External" Id="rId60" /><Relationship Type="http://schemas.openxmlformats.org/officeDocument/2006/relationships/hyperlink" Target="https://www.milwaukeetool.com/Products/Power-Tools/Batteries-Chargers/Chargers" TargetMode="External" Id="rId61" /><Relationship Type="http://schemas.openxmlformats.org/officeDocument/2006/relationships/hyperlink" Target="https://www.milwaukeetool.com/Products/Power-Tools/Batteries-Chargers/Chargers" TargetMode="External" Id="rId62" /><Relationship Type="http://schemas.openxmlformats.org/officeDocument/2006/relationships/hyperlink" Target="https://www.milwaukeetool.com/Search?q=48-22-8301" TargetMode="External" Id="rId63" /><Relationship Type="http://schemas.openxmlformats.org/officeDocument/2006/relationships/hyperlink" Target="https://www.milwaukeetool.com/Search?q=48-22-8301" TargetMode="External" Id="rId64" /><Relationship Type="http://schemas.openxmlformats.org/officeDocument/2006/relationships/hyperlink" Target="https://www.milwaukeetool.com/Search?q=48-22-8435" TargetMode="External" Id="rId65" /><Relationship Type="http://schemas.openxmlformats.org/officeDocument/2006/relationships/hyperlink" Target="https://www.milwaukeetool.com/Search?q=48-22-8435" TargetMode="External" Id="rId66" /><Relationship Type="http://schemas.openxmlformats.org/officeDocument/2006/relationships/hyperlink" Target="https://www.milwaukeetool.com/Search?q=48-22-8431" TargetMode="External" Id="rId67" /><Relationship Type="http://schemas.openxmlformats.org/officeDocument/2006/relationships/hyperlink" Target="https://www.milwaukeetool.com/Search?q=48-22-8431" TargetMode="External" Id="rId68" /><Relationship Type="http://schemas.openxmlformats.org/officeDocument/2006/relationships/hyperlink" Target="https://holstery.com/products/mod-pouch-clip-on-modular-tool-pouch" TargetMode="External" Id="rId69" /><Relationship Type="http://schemas.openxmlformats.org/officeDocument/2006/relationships/hyperlink" Target="https://holstery.com/products/mod-pouch-clip-on-modular-tool-pouch" TargetMode="External" Id="rId70" /><Relationship Type="http://schemas.openxmlformats.org/officeDocument/2006/relationships/hyperlink" Target="https://holstery.com/products/drivermaster-v2-clip-on-drill-holster" TargetMode="External" Id="rId71" /><Relationship Type="http://schemas.openxmlformats.org/officeDocument/2006/relationships/hyperlink" Target="https://holstery.com/products/drivermaster-v2-clip-on-drill-holster" TargetMode="External" Id="rId72" /><Relationship Type="http://schemas.openxmlformats.org/officeDocument/2006/relationships/hyperlink" Target="https://holstery.com/products/magmaster-v2-magnetic-tool-and-hardware-holder" TargetMode="External" Id="rId73" /><Relationship Type="http://schemas.openxmlformats.org/officeDocument/2006/relationships/hyperlink" Target="https://holstery.com/products/magmaster-v2-magnetic-tool-and-hardware-holder" TargetMode="External" Id="rId74" /><Relationship Type="http://schemas.openxmlformats.org/officeDocument/2006/relationships/hyperlink" Target="https://www.amazon.com/dp/B0CNDY32SX" TargetMode="External" Id="rId75" /><Relationship Type="http://schemas.openxmlformats.org/officeDocument/2006/relationships/hyperlink" Target="https://www.amazon.com/dp/B0CNDY32SX" TargetMode="External" Id="rId76" /><Relationship Type="http://schemas.openxmlformats.org/officeDocument/2006/relationships/hyperlink" Target="https://www.skil.com/search?q=AH6552A" TargetMode="External" Id="rId77" /><Relationship Type="http://schemas.openxmlformats.org/officeDocument/2006/relationships/hyperlink" Target="https://www.skil.com/search?q=AH6552A" TargetMode="External" Id="rId78" /><Relationship Type="http://schemas.openxmlformats.org/officeDocument/2006/relationships/hyperlink" Target="https://www.amazon.com/s?k=Antive+E-S01+electric+scissors" TargetMode="External" Id="rId79" /><Relationship Type="http://schemas.openxmlformats.org/officeDocument/2006/relationships/hyperlink" Target="https://www.amazon.com/s?k=Antive+E-S01+electric+scissors" TargetMode="External" Id="rId80" /><Relationship Type="http://schemas.openxmlformats.org/officeDocument/2006/relationships/hyperlink" Target="https://huepar.com/products/huepar-box1g-laser-level" TargetMode="External" Id="rId81" /><Relationship Type="http://schemas.openxmlformats.org/officeDocument/2006/relationships/hyperlink" Target="https://huepar.com/products/huepar-box1g-laser-level" TargetMode="External" Id="rId82" /><Relationship Type="http://schemas.openxmlformats.org/officeDocument/2006/relationships/hyperlink" Target="https://www.amazon.com/s?k=Franklin+Sensors+iA12" TargetMode="External" Id="rId83" /><Relationship Type="http://schemas.openxmlformats.org/officeDocument/2006/relationships/hyperlink" Target="https://www.amazon.com/s?k=Franklin+Sensors+iA12" TargetMode="External" Id="rId84" /><Relationship Type="http://schemas.openxmlformats.org/officeDocument/2006/relationships/hyperlink" Target="https://www.lexivon.com/products/lx-770" TargetMode="External" Id="rId85" /><Relationship Type="http://schemas.openxmlformats.org/officeDocument/2006/relationships/hyperlink" Target="https://www.lexivon.com/products/lx-770" TargetMode="External" Id="rId86" /><Relationship Type="http://schemas.openxmlformats.org/officeDocument/2006/relationships/hyperlink" Target="https://www.milwaukeetool.com/Search?q=48-73-2013" TargetMode="External" Id="rId87" /><Relationship Type="http://schemas.openxmlformats.org/officeDocument/2006/relationships/hyperlink" Target="https://www.milwaukeetool.com/Search?q=48-73-2013" TargetMode="External" Id="rId88" /><Relationship Type="http://schemas.openxmlformats.org/officeDocument/2006/relationships/hyperlink" Target="https://www.milwaukeetool.com/Search?q=PACKOUT+Cut+Level+Smartswipe+gloves" TargetMode="External" Id="rId89" /><Relationship Type="http://schemas.openxmlformats.org/officeDocument/2006/relationships/hyperlink" Target="https://www.milwaukeetool.com/Search?q=PACKOUT+Cut+Level+Smartswipe+gloves" TargetMode="External" Id="rId90" /><Relationship Type="http://schemas.openxmlformats.org/officeDocument/2006/relationships/hyperlink" Target="https://www.amazon.com/dp/B0DSYSKYW2" TargetMode="External" Id="rId91" /><Relationship Type="http://schemas.openxmlformats.org/officeDocument/2006/relationships/hyperlink" Target="https://www.amazon.com/dp/B0DSYSKYW2" TargetMode="External" Id="rId92" /><Relationship Type="http://schemas.openxmlformats.org/officeDocument/2006/relationships/hyperlink" Target="https://www.milwaukeetool.com/Search?q=49-10-9001" TargetMode="External" Id="rId93" /><Relationship Type="http://schemas.openxmlformats.org/officeDocument/2006/relationships/hyperlink" Target="https://www.milwaukeetool.com/Search?q=49-10-9001" TargetMode="External" Id="rId94" /><Relationship Type="http://schemas.openxmlformats.org/officeDocument/2006/relationships/hyperlink" Target="https://www.amazon.com/dp/B0FD3BHQMV" TargetMode="External" Id="rId95" /><Relationship Type="http://schemas.openxmlformats.org/officeDocument/2006/relationships/hyperlink" Target="https://www.amazon.com/dp/B0FD3BHQMV" TargetMode="External" Id="rId9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kleintools.com/catalog/socket-wrenches/knect-38-inch-drive-impact-rated-pass-through-socket-set-15-piece" TargetMode="External" Id="rId1" /><Relationship Type="http://schemas.openxmlformats.org/officeDocument/2006/relationships/hyperlink" Target="https://www.kleintools.com/catalog/socket-wrenches/knect-38-inch-drive-impact-rated-pass-through-socket-set-15-piece" TargetMode="External" Id="rId2" /><Relationship Type="http://schemas.openxmlformats.org/officeDocument/2006/relationships/hyperlink" Target="https://www.kleintools.com/catalog/clamp-meters/600a-acdc-auto-ranging-trms-clamp-meter-worklight" TargetMode="External" Id="rId3" /><Relationship Type="http://schemas.openxmlformats.org/officeDocument/2006/relationships/hyperlink" Target="https://www.kleintools.com/catalog/clamp-meters/600a-acdc-auto-ranging-trms-clamp-meter-worklight" TargetMode="External" Id="rId4" /><Relationship Type="http://schemas.openxmlformats.org/officeDocument/2006/relationships/hyperlink" Target="https://www.milwaukeetool.com/Search?q=48-22-8420" TargetMode="External" Id="rId5" /><Relationship Type="http://schemas.openxmlformats.org/officeDocument/2006/relationships/hyperlink" Target="https://www.milwaukeetool.com/Search?q=48-22-8420" TargetMode="External" Id="rId6" /><Relationship Type="http://schemas.openxmlformats.org/officeDocument/2006/relationships/hyperlink" Target="https://www.milwaukeetool.com/Search?q=48-22-8415" TargetMode="External" Id="rId7" /><Relationship Type="http://schemas.openxmlformats.org/officeDocument/2006/relationships/hyperlink" Target="https://www.milwaukeetool.com/Search?q=48-22-8415" TargetMode="External" Id="rId8" /><Relationship Type="http://schemas.openxmlformats.org/officeDocument/2006/relationships/hyperlink" Target="https://www.milwaukeetool.com/Search?q=2572B-21" TargetMode="External" Id="rId9" /><Relationship Type="http://schemas.openxmlformats.org/officeDocument/2006/relationships/hyperlink" Target="https://www.milwaukeetool.com/Search?q=2572B-21" TargetMode="External" Id="rId10" /><Relationship Type="http://schemas.openxmlformats.org/officeDocument/2006/relationships/hyperlink" Target="https://www.amazon.com/" TargetMode="External" Id="rId11" /><Relationship Type="http://schemas.openxmlformats.org/officeDocument/2006/relationships/hyperlink" Target="https://www.amazon.com/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/dp/B0D1K6L6TL" TargetMode="External" Id="rId1" /><Relationship Type="http://schemas.openxmlformats.org/officeDocument/2006/relationships/hyperlink" Target="https://www.amazon.com/dp/B0D1K6L6TL" TargetMode="External" Id="rId2" /><Relationship Type="http://schemas.openxmlformats.org/officeDocument/2006/relationships/hyperlink" Target="https://www.amazon.com/dp/B0D1K6L6TL" TargetMode="External" Id="rId3" /><Relationship Type="http://schemas.openxmlformats.org/officeDocument/2006/relationships/hyperlink" Target="https://www.amazon.com/dp/B07C3NBTJ9" TargetMode="External" Id="rId4" /><Relationship Type="http://schemas.openxmlformats.org/officeDocument/2006/relationships/hyperlink" Target="https://www.amazon.com/dp/B07C3NBTJ9" TargetMode="External" Id="rId5" /><Relationship Type="http://schemas.openxmlformats.org/officeDocument/2006/relationships/hyperlink" Target="https://www.amazon.com/dp/B07C3NBTJ9" TargetMode="External" Id="rId6" /><Relationship Type="http://schemas.openxmlformats.org/officeDocument/2006/relationships/hyperlink" Target="https://www.amazon.com/dp/B07C3NBTJ9" TargetMode="External" Id="rId7" /><Relationship Type="http://schemas.openxmlformats.org/officeDocument/2006/relationships/hyperlink" Target="https://www.amazon.com/dp/B07RX6QYX5" TargetMode="External" Id="rId8" /><Relationship Type="http://schemas.openxmlformats.org/officeDocument/2006/relationships/hyperlink" Target="https://www.amazon.com/dp/B07RX6QYX5" TargetMode="External" Id="rId9" /><Relationship Type="http://schemas.openxmlformats.org/officeDocument/2006/relationships/hyperlink" Target="https://www.amazon.com/dp/B07RX6QYX5" TargetMode="External" Id="rId10" /><Relationship Type="http://schemas.openxmlformats.org/officeDocument/2006/relationships/hyperlink" Target="https://www.amazon.com/dp/B07RX6QYX5" TargetMode="External" Id="rId11" /><Relationship Type="http://schemas.openxmlformats.org/officeDocument/2006/relationships/hyperlink" Target="https://www.amazon.com/dp/B0F1N2WH51" TargetMode="External" Id="rId12" /><Relationship Type="http://schemas.openxmlformats.org/officeDocument/2006/relationships/hyperlink" Target="https://www.amazon.com/dp/B0F2T8LR9W" TargetMode="External" Id="rId13" /><Relationship Type="http://schemas.openxmlformats.org/officeDocument/2006/relationships/hyperlink" Target="https://www.amazon.com/dp/B0F2T498YF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3" customWidth="1" min="3" max="3"/>
    <col width="55" customWidth="1" min="4" max="4"/>
  </cols>
  <sheetData>
    <row r="1">
      <c r="A1" s="1" t="inlineStr">
        <is>
          <t>Arsenal Multioficio 2026 - Resumen</t>
        </is>
      </c>
    </row>
    <row r="2">
      <c r="A2" s="2" t="inlineStr">
        <is>
          <t>Saul Marin Gonzalez | Codigo por linea de inventario | Respaldo local</t>
        </is>
      </c>
    </row>
    <row r="4">
      <c r="A4" s="3" t="inlineStr">
        <is>
          <t>Metricas del inventario</t>
        </is>
      </c>
      <c r="D4" s="3" t="inlineStr">
        <is>
          <t>Ecosistema</t>
        </is>
      </c>
    </row>
    <row r="5">
      <c r="A5" s="4" t="inlineStr">
        <is>
          <t>Lineas de inventario (codigos)</t>
        </is>
      </c>
      <c r="B5" s="5" t="n">
        <v>48</v>
      </c>
      <c r="D5" s="4" t="inlineStr">
        <is>
          <t>Base principal: Milwaukee M12 + M18</t>
        </is>
      </c>
    </row>
    <row r="6">
      <c r="A6" s="4" t="inlineStr">
        <is>
          <t>Unidades totales (suma Cantidad)</t>
        </is>
      </c>
      <c r="B6" s="5" t="n">
        <v>54</v>
      </c>
      <c r="D6" s="4" t="inlineStr">
        <is>
          <t>Prueba / electrico: Klein Tools</t>
        </is>
      </c>
    </row>
    <row r="7">
      <c r="A7" s="4" t="inlineStr">
        <is>
          <t>Estado: Activo (lineas)</t>
        </is>
      </c>
      <c r="B7" s="5">
        <f>COUNTIF(Inventario!I5:I52,"Activo")</f>
        <v/>
      </c>
      <c r="D7" s="4" t="inlineStr">
        <is>
          <t>Alicates y llaves: Knipex + Wera Joker</t>
        </is>
      </c>
    </row>
    <row r="8">
      <c r="A8" s="4" t="inlineStr">
        <is>
          <t>Pendientes de compra</t>
        </is>
      </c>
      <c r="B8" s="5" t="n">
        <v>6</v>
      </c>
      <c r="D8" s="4" t="inlineStr">
        <is>
          <t>Organizacion: PACKOUT</t>
        </is>
      </c>
    </row>
    <row r="9">
      <c r="A9" s="4" t="inlineStr">
        <is>
          <t>Costo estimado pendientes (CRC)</t>
        </is>
      </c>
      <c r="B9" s="6">
        <f>SUM(Pendientes!F5:F10)</f>
        <v/>
      </c>
      <c r="D9" s="4" t="inlineStr">
        <is>
          <t>ID interno: columna Codigo (por linea)</t>
        </is>
      </c>
    </row>
    <row r="10">
      <c r="A10" s="4" t="inlineStr">
        <is>
          <t>Lineas de consumibles (kits)</t>
        </is>
      </c>
      <c r="B10" s="5" t="n">
        <v>14</v>
      </c>
      <c r="D10" s="4" t="inlineStr">
        <is>
          <t>Consumibles: pestaña aparte (kits CNS-*)</t>
        </is>
      </c>
    </row>
    <row r="11">
      <c r="A11" s="4" t="inlineStr">
        <is>
          <t>Consumibles a reponer</t>
        </is>
      </c>
      <c r="B11" s="5">
        <f>COUNTIF(Consumibles!J5:J18,"Reponer")</f>
        <v/>
      </c>
      <c r="D11" s="4" t="inlineStr">
        <is>
          <t>Enlaces: Inventario col J/K; Consumibles clic en nombre</t>
        </is>
      </c>
    </row>
    <row r="13">
      <c r="A13" s="3" t="inlineStr">
        <is>
          <t>Esquema de codigos (por LINEA)</t>
        </is>
      </c>
    </row>
    <row r="14">
      <c r="A14" s="7" t="inlineStr">
        <is>
          <t>Inventario: MARCA-FAMILIA-###  (ej. MW-M12-001, KL-ELC-003, MW-M12-BAT-001)</t>
        </is>
      </c>
    </row>
    <row r="15">
      <c r="A15" s="7" t="inlineStr">
        <is>
          <t>Un codigo = una linea, no una unidad fisica. Cantidad en columna aparte.</t>
        </is>
      </c>
    </row>
    <row r="16">
      <c r="A16" s="7" t="inlineStr">
        <is>
          <t>Estado inventario: Activo (en arsenal). Baja/Prestado opcionales. Pendientes en hoja aparte.</t>
        </is>
      </c>
    </row>
    <row r="17">
      <c r="A17" s="7" t="inlineStr">
        <is>
          <t>El ### no se reutiliza. Pendientes: codigo reservado hasta comprar.</t>
        </is>
      </c>
    </row>
    <row r="18">
      <c r="A18" s="7" t="inlineStr">
        <is>
          <t>Consumibles: CNS-*-### + CLASE + tipo terminal + color + UBICACION (codigo del lugar).</t>
        </is>
      </c>
    </row>
    <row r="19">
      <c r="A19" s="7" t="inlineStr">
        <is>
          <t>Clases: Conector electrico | Cinta / aislante | Fijacion | Corte / desgaste | Quimico / sellado | Otro</t>
        </is>
      </c>
    </row>
    <row r="20">
      <c r="A20" s="7" t="inlineStr">
        <is>
          <t>Ubicacion ejemplo: MW-PKO-005 = PACKOUT Organizer 19. Prefijos MW/KL/CNS... NO pieza a pieza.</t>
        </is>
      </c>
    </row>
    <row r="22">
      <c r="A22" s="3" t="inlineStr">
        <is>
          <t>Sitios oficiales de marca</t>
        </is>
      </c>
    </row>
    <row r="23">
      <c r="A23" s="8" t="inlineStr">
        <is>
          <t>Marca</t>
        </is>
      </c>
      <c r="B23" s="8" t="inlineStr">
        <is>
          <t>Sitio web</t>
        </is>
      </c>
    </row>
    <row r="24">
      <c r="A24" s="9" t="inlineStr">
        <is>
          <t>Milwaukee</t>
        </is>
      </c>
      <c r="B24" s="10" t="inlineStr">
        <is>
          <t>https://www.milwaukeetool.com/</t>
        </is>
      </c>
    </row>
    <row r="25">
      <c r="A25" s="9" t="inlineStr">
        <is>
          <t>Klein Tools</t>
        </is>
      </c>
      <c r="B25" s="10" t="inlineStr">
        <is>
          <t>https://www.kleintools.com/</t>
        </is>
      </c>
    </row>
    <row r="26">
      <c r="A26" s="9" t="inlineStr">
        <is>
          <t>Knipex</t>
        </is>
      </c>
      <c r="B26" s="10" t="inlineStr">
        <is>
          <t>https://www.knipex.com/</t>
        </is>
      </c>
    </row>
    <row r="27">
      <c r="A27" s="9" t="inlineStr">
        <is>
          <t>Wera</t>
        </is>
      </c>
      <c r="B27" s="10" t="inlineStr">
        <is>
          <t>https://www.wera.de/en</t>
        </is>
      </c>
    </row>
    <row r="28">
      <c r="A28" s="9" t="inlineStr">
        <is>
          <t>Holstery</t>
        </is>
      </c>
      <c r="B28" s="10" t="inlineStr">
        <is>
          <t>https://holstery.com/</t>
        </is>
      </c>
    </row>
    <row r="29">
      <c r="A29" s="9" t="inlineStr">
        <is>
          <t>Huepar</t>
        </is>
      </c>
      <c r="B29" s="10" t="inlineStr">
        <is>
          <t>https://huepar.com/</t>
        </is>
      </c>
    </row>
    <row r="30">
      <c r="A30" s="9" t="inlineStr">
        <is>
          <t>LEXIVON</t>
        </is>
      </c>
      <c r="B30" s="10" t="inlineStr">
        <is>
          <t>https://www.lexivon.com/</t>
        </is>
      </c>
    </row>
    <row r="31">
      <c r="A31" s="9" t="inlineStr">
        <is>
          <t>Skil</t>
        </is>
      </c>
      <c r="B31" s="10" t="inlineStr">
        <is>
          <t>https://www.skil.com/</t>
        </is>
      </c>
    </row>
    <row r="33">
      <c r="A33" s="3" t="inlineStr">
        <is>
          <t>Lineas por marca</t>
        </is>
      </c>
    </row>
    <row r="34">
      <c r="A34" s="8" t="inlineStr">
        <is>
          <t>Marca</t>
        </is>
      </c>
      <c r="B34" s="8" t="inlineStr">
        <is>
          <t>Lineas</t>
        </is>
      </c>
    </row>
    <row r="35">
      <c r="A35" s="9" t="inlineStr">
        <is>
          <t>Antive</t>
        </is>
      </c>
      <c r="B35" s="11">
        <f>COUNTIF(Inventario!C5:C52,A35)</f>
        <v/>
      </c>
    </row>
    <row r="36">
      <c r="A36" s="9" t="inlineStr">
        <is>
          <t>Franklin</t>
        </is>
      </c>
      <c r="B36" s="11">
        <f>COUNTIF(Inventario!C5:C52,A36)</f>
        <v/>
      </c>
    </row>
    <row r="37">
      <c r="A37" s="9" t="inlineStr">
        <is>
          <t>Holstery</t>
        </is>
      </c>
      <c r="B37" s="11">
        <f>COUNTIF(Inventario!C5:C52,A37)</f>
        <v/>
      </c>
    </row>
    <row r="38">
      <c r="A38" s="9" t="inlineStr">
        <is>
          <t>Huepar</t>
        </is>
      </c>
      <c r="B38" s="11">
        <f>COUNTIF(Inventario!C5:C52,A38)</f>
        <v/>
      </c>
    </row>
    <row r="39">
      <c r="A39" s="9" t="inlineStr">
        <is>
          <t>Klein</t>
        </is>
      </c>
      <c r="B39" s="11">
        <f>COUNTIF(Inventario!C5:C52,A39)</f>
        <v/>
      </c>
    </row>
    <row r="40">
      <c r="A40" s="9" t="inlineStr">
        <is>
          <t>Knipex</t>
        </is>
      </c>
      <c r="B40" s="11">
        <f>COUNTIF(Inventario!C5:C52,A40)</f>
        <v/>
      </c>
    </row>
    <row r="41">
      <c r="A41" s="9" t="inlineStr">
        <is>
          <t>LEXIVON</t>
        </is>
      </c>
      <c r="B41" s="11">
        <f>COUNTIF(Inventario!C5:C52,A41)</f>
        <v/>
      </c>
    </row>
    <row r="42">
      <c r="A42" s="9" t="inlineStr">
        <is>
          <t>MTO</t>
        </is>
      </c>
      <c r="B42" s="11">
        <f>COUNTIF(Inventario!C5:C52,A42)</f>
        <v/>
      </c>
    </row>
    <row r="43">
      <c r="A43" s="9" t="inlineStr">
        <is>
          <t>Milwaukee</t>
        </is>
      </c>
      <c r="B43" s="11">
        <f>COUNTIF(Inventario!C5:C52,A43)</f>
        <v/>
      </c>
    </row>
    <row r="44">
      <c r="A44" s="9" t="inlineStr">
        <is>
          <t>Railer</t>
        </is>
      </c>
      <c r="B44" s="11">
        <f>COUNTIF(Inventario!C5:C52,A44)</f>
        <v/>
      </c>
    </row>
    <row r="45">
      <c r="A45" s="9" t="inlineStr">
        <is>
          <t>Skil</t>
        </is>
      </c>
      <c r="B45" s="11">
        <f>COUNTIF(Inventario!C5:C52,A45)</f>
        <v/>
      </c>
    </row>
    <row r="46">
      <c r="A46" s="9" t="inlineStr">
        <is>
          <t>Wera</t>
        </is>
      </c>
      <c r="B46" s="11">
        <f>COUNTIF(Inventario!C5:C52,A46)</f>
        <v/>
      </c>
    </row>
    <row r="47">
      <c r="A47" s="9" t="inlineStr">
        <is>
          <t>Youneedthat</t>
        </is>
      </c>
      <c r="B47" s="11">
        <f>COUNTIF(Inventario!C5:C52,A47)</f>
        <v/>
      </c>
    </row>
  </sheetData>
  <mergeCells count="1">
    <mergeCell ref="A1:D1"/>
  </mergeCells>
  <hyperlinks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  <hyperlink xmlns:r="http://schemas.openxmlformats.org/officeDocument/2006/relationships" ref="B27" r:id="rId4"/>
    <hyperlink xmlns:r="http://schemas.openxmlformats.org/officeDocument/2006/relationships" ref="B28" r:id="rId5"/>
    <hyperlink xmlns:r="http://schemas.openxmlformats.org/officeDocument/2006/relationships" ref="B29" r:id="rId6"/>
    <hyperlink xmlns:r="http://schemas.openxmlformats.org/officeDocument/2006/relationships" ref="B30" r:id="rId7"/>
    <hyperlink xmlns:r="http://schemas.openxmlformats.org/officeDocument/2006/relationships" ref="B3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4" customWidth="1" min="5" max="5"/>
    <col width="40" customWidth="1" min="6" max="6"/>
    <col width="14" customWidth="1" min="7" max="7"/>
    <col width="10" customWidth="1" min="8" max="8"/>
    <col width="11" customWidth="1" min="9" max="9"/>
    <col width="16" customWidth="1" min="10" max="10"/>
    <col width="50" customWidth="1" min="11" max="11"/>
  </cols>
  <sheetData>
    <row r="1" ht="24" customHeight="1">
      <c r="A1" s="1" t="inlineStr">
        <is>
          <t>Inventario - Arsenal Multioficio 2026</t>
        </is>
      </c>
    </row>
    <row r="2">
      <c r="A2" s="2" t="inlineStr">
        <is>
          <t>Propietario: Saul Marin Gonzalez</t>
        </is>
      </c>
      <c r="C2" s="2" t="inlineStr">
        <is>
          <t>Ultima actualizacion: 28/07/2026</t>
        </is>
      </c>
      <c r="E2" s="12" t="inlineStr">
        <is>
          <t>Lineas:</t>
        </is>
      </c>
      <c r="F2" s="3" t="n">
        <v>48</v>
      </c>
      <c r="G2" s="12" t="inlineStr">
        <is>
          <t>Unidades (suma Cantidad):</t>
        </is>
      </c>
      <c r="H2" s="3" t="n">
        <v>54</v>
      </c>
    </row>
    <row r="3">
      <c r="A3" s="13" t="inlineStr">
        <is>
          <t>Codigo = ID por LINEA de inventario (no por unidad). Formato MARCA-FAMILIA-###. Cantidad = unidades en esa linea. Enlace = ficha o busqueda oficial.</t>
        </is>
      </c>
    </row>
    <row r="4" ht="22" customHeight="1">
      <c r="A4" s="14" t="inlineStr">
        <is>
          <t>#</t>
        </is>
      </c>
      <c r="B4" s="14" t="inlineStr">
        <is>
          <t>Codigo</t>
        </is>
      </c>
      <c r="C4" s="14" t="inlineStr">
        <is>
          <t>Marca</t>
        </is>
      </c>
      <c r="D4" s="14" t="inlineStr">
        <is>
          <t>Tipo</t>
        </is>
      </c>
      <c r="E4" s="14" t="inlineStr">
        <is>
          <t>Categoria</t>
        </is>
      </c>
      <c r="F4" s="14" t="inlineStr">
        <is>
          <t>Herramienta</t>
        </is>
      </c>
      <c r="G4" s="14" t="inlineStr">
        <is>
          <t>Modelo</t>
        </is>
      </c>
      <c r="H4" s="14" t="inlineStr">
        <is>
          <t>Cantidad</t>
        </is>
      </c>
      <c r="I4" s="14" t="inlineStr">
        <is>
          <t>Estado</t>
        </is>
      </c>
      <c r="J4" s="14" t="inlineStr">
        <is>
          <t>Enlace marca</t>
        </is>
      </c>
      <c r="K4" s="14" t="inlineStr">
        <is>
          <t>URL</t>
        </is>
      </c>
    </row>
    <row r="5">
      <c r="A5" s="11" t="n">
        <v>1</v>
      </c>
      <c r="B5" s="15" t="inlineStr">
        <is>
          <t>MW-FTN-001</t>
        </is>
      </c>
      <c r="C5" s="11" t="inlineStr">
        <is>
          <t>Milwaukee</t>
        </is>
      </c>
      <c r="D5" s="11" t="inlineStr">
        <is>
          <t>Herramienta</t>
        </is>
      </c>
      <c r="E5" s="16" t="inlineStr">
        <is>
          <t>Fontaneria</t>
        </is>
      </c>
      <c r="F5" s="16" t="inlineStr">
        <is>
          <t>M12 Stick Transfer Pump</t>
        </is>
      </c>
      <c r="G5" s="11" t="inlineStr">
        <is>
          <t>2579-20</t>
        </is>
      </c>
      <c r="H5" s="11" t="n">
        <v>1</v>
      </c>
      <c r="I5" s="17" t="inlineStr">
        <is>
          <t>Activo</t>
        </is>
      </c>
      <c r="J5" s="18" t="inlineStr">
        <is>
          <t>Ver en Milwaukee</t>
        </is>
      </c>
      <c r="K5" s="19" t="inlineStr">
        <is>
          <t>https://www.milwaukeetool.com/Products/Power-Tools/Plumbing/Pumps/M12-FUEL-Stick-Transfer-Pump/2579-20</t>
        </is>
      </c>
    </row>
    <row r="6">
      <c r="A6" s="20" t="n">
        <v>2</v>
      </c>
      <c r="B6" s="15" t="inlineStr">
        <is>
          <t>MW-FTN-002</t>
        </is>
      </c>
      <c r="C6" s="20" t="inlineStr">
        <is>
          <t>Milwaukee</t>
        </is>
      </c>
      <c r="D6" s="20" t="inlineStr">
        <is>
          <t>Herramienta</t>
        </is>
      </c>
      <c r="E6" s="21" t="inlineStr">
        <is>
          <t>Fontaneria</t>
        </is>
      </c>
      <c r="F6" s="21" t="inlineStr">
        <is>
          <t>Llave Faucet Swap-Out</t>
        </is>
      </c>
      <c r="G6" s="20" t="inlineStr">
        <is>
          <t>48-22-7100</t>
        </is>
      </c>
      <c r="H6" s="11" t="n">
        <v>1</v>
      </c>
      <c r="I6" s="17" t="inlineStr">
        <is>
          <t>Activo</t>
        </is>
      </c>
      <c r="J6" s="18" t="inlineStr">
        <is>
          <t>Ver en Milwaukee</t>
        </is>
      </c>
      <c r="K6" s="19" t="inlineStr">
        <is>
          <t>https://www.milwaukeetool.com/Products/Hand-Tools/Plumbing/Wrenches/Faucet-and-Sink-Installer/48-22-7100</t>
        </is>
      </c>
    </row>
    <row r="7">
      <c r="A7" s="11" t="n">
        <v>3</v>
      </c>
      <c r="B7" s="15" t="inlineStr">
        <is>
          <t>KP-FTN-001</t>
        </is>
      </c>
      <c r="C7" s="11" t="inlineStr">
        <is>
          <t>Knipex</t>
        </is>
      </c>
      <c r="D7" s="11" t="inlineStr">
        <is>
          <t>Herramienta</t>
        </is>
      </c>
      <c r="E7" s="16" t="inlineStr">
        <is>
          <t>Fontaneria</t>
        </is>
      </c>
      <c r="F7" s="16" t="inlineStr">
        <is>
          <t>Cobra Water Pump Pliers 10"</t>
        </is>
      </c>
      <c r="G7" s="11" t="inlineStr">
        <is>
          <t>87 02 250</t>
        </is>
      </c>
      <c r="H7" s="11" t="n">
        <v>1</v>
      </c>
      <c r="I7" s="17" t="inlineStr">
        <is>
          <t>Activo</t>
        </is>
      </c>
      <c r="J7" s="18" t="inlineStr">
        <is>
          <t>Ver en Knipex</t>
        </is>
      </c>
      <c r="K7" s="19" t="inlineStr">
        <is>
          <t>https://www.knipex.com/products/water-pump-pliers-and-pipe-wrenches/water-pump-pliers/knipex-cobra-water-pump-pliers/8702250</t>
        </is>
      </c>
    </row>
    <row r="8">
      <c r="A8" s="20" t="n">
        <v>4</v>
      </c>
      <c r="B8" s="15" t="inlineStr">
        <is>
          <t>KP-FTN-002</t>
        </is>
      </c>
      <c r="C8" s="20" t="inlineStr">
        <is>
          <t>Knipex</t>
        </is>
      </c>
      <c r="D8" s="20" t="inlineStr">
        <is>
          <t>Herramienta</t>
        </is>
      </c>
      <c r="E8" s="21" t="inlineStr">
        <is>
          <t>Fontaneria</t>
        </is>
      </c>
      <c r="F8" s="21" t="inlineStr">
        <is>
          <t>TwinGrip Pliers 8"</t>
        </is>
      </c>
      <c r="G8" s="20" t="inlineStr">
        <is>
          <t>83 01 200</t>
        </is>
      </c>
      <c r="H8" s="11" t="n">
        <v>1</v>
      </c>
      <c r="I8" s="17" t="inlineStr">
        <is>
          <t>Activo</t>
        </is>
      </c>
      <c r="J8" s="18" t="inlineStr">
        <is>
          <t>Ver en Knipex</t>
        </is>
      </c>
      <c r="K8" s="19" t="inlineStr">
        <is>
          <t>https://www.knipex.com/products/pliers/front-and-side-gripping-pliers/knipex-twingrip-front-and-side-gripping-pliers/8201200</t>
        </is>
      </c>
    </row>
    <row r="9">
      <c r="A9" s="11" t="n">
        <v>5</v>
      </c>
      <c r="B9" s="15" t="inlineStr">
        <is>
          <t>KP-FTN-003</t>
        </is>
      </c>
      <c r="C9" s="11" t="inlineStr">
        <is>
          <t>Knipex</t>
        </is>
      </c>
      <c r="D9" s="11" t="inlineStr">
        <is>
          <t>Herramienta</t>
        </is>
      </c>
      <c r="E9" s="16" t="inlineStr">
        <is>
          <t>Fontaneria</t>
        </is>
      </c>
      <c r="F9" s="16" t="inlineStr">
        <is>
          <t>Pliers Wrench 10"</t>
        </is>
      </c>
      <c r="G9" s="11" t="inlineStr">
        <is>
          <t>86 01 250</t>
        </is>
      </c>
      <c r="H9" s="11" t="n">
        <v>1</v>
      </c>
      <c r="I9" s="17" t="inlineStr">
        <is>
          <t>Activo</t>
        </is>
      </c>
      <c r="J9" s="18" t="inlineStr">
        <is>
          <t>Ver en Knipex</t>
        </is>
      </c>
      <c r="K9" s="19" t="inlineStr">
        <is>
          <t>https://www.knipex.com/products/pliers-wrenches-and-pipe-wrenches/pliers-wrenches/pliers-wrench-pliers-and-a-wrench-in-a-single-tool/8601250</t>
        </is>
      </c>
    </row>
    <row r="10">
      <c r="A10" s="20" t="n">
        <v>6</v>
      </c>
      <c r="B10" s="15" t="inlineStr">
        <is>
          <t>WR-FTN-001</t>
        </is>
      </c>
      <c r="C10" s="20" t="inlineStr">
        <is>
          <t>Wera</t>
        </is>
      </c>
      <c r="D10" s="20" t="inlineStr">
        <is>
          <t>Herramienta</t>
        </is>
      </c>
      <c r="E10" s="21" t="inlineStr">
        <is>
          <t>Fontaneria</t>
        </is>
      </c>
      <c r="F10" s="21" t="inlineStr">
        <is>
          <t>Joker Self-Setting Wrench M/L/XL</t>
        </is>
      </c>
      <c r="G10" s="20" t="inlineStr">
        <is>
          <t>6004 serie</t>
        </is>
      </c>
      <c r="H10" s="11" t="n">
        <v>1</v>
      </c>
      <c r="I10" s="17" t="inlineStr">
        <is>
          <t>Activo</t>
        </is>
      </c>
      <c r="J10" s="18" t="inlineStr">
        <is>
          <t>Ver en Wera</t>
        </is>
      </c>
      <c r="K10" s="19" t="inlineStr">
        <is>
          <t>https://www.wera.de/en/tools/tool-types/wrench/joker-adjustable-open-end-wrenches</t>
        </is>
      </c>
    </row>
    <row r="11">
      <c r="A11" s="11" t="n">
        <v>7</v>
      </c>
      <c r="B11" s="15" t="inlineStr">
        <is>
          <t>KL-ELC-001</t>
        </is>
      </c>
      <c r="C11" s="11" t="inlineStr">
        <is>
          <t>Klein</t>
        </is>
      </c>
      <c r="D11" s="11" t="inlineStr">
        <is>
          <t>Herramienta</t>
        </is>
      </c>
      <c r="E11" s="16" t="inlineStr">
        <is>
          <t>Electricidad</t>
        </is>
      </c>
      <c r="F11" s="16" t="inlineStr">
        <is>
          <t>Non-Contact Voltage Tester</t>
        </is>
      </c>
      <c r="G11" s="11" t="inlineStr">
        <is>
          <t>NCVT-39</t>
        </is>
      </c>
      <c r="H11" s="11" t="n">
        <v>1</v>
      </c>
      <c r="I11" s="17" t="inlineStr">
        <is>
          <t>Activo</t>
        </is>
      </c>
      <c r="J11" s="18" t="inlineStr">
        <is>
          <t>Ver en Klein</t>
        </is>
      </c>
      <c r="K11" s="19" t="inlineStr">
        <is>
          <t>https://www.kleintools.com/catalog/electrical-testers/dual-range-non-contact-voltage-tester-flashlight-12-1000v-ac</t>
        </is>
      </c>
    </row>
    <row r="12">
      <c r="A12" s="20" t="n">
        <v>8</v>
      </c>
      <c r="B12" s="15" t="inlineStr">
        <is>
          <t>KL-ELC-002</t>
        </is>
      </c>
      <c r="C12" s="20" t="inlineStr">
        <is>
          <t>Klein</t>
        </is>
      </c>
      <c r="D12" s="20" t="inlineStr">
        <is>
          <t>Herramienta</t>
        </is>
      </c>
      <c r="E12" s="21" t="inlineStr">
        <is>
          <t>Electricidad</t>
        </is>
      </c>
      <c r="F12" s="21" t="inlineStr">
        <is>
          <t>GFCI Receptacle Tester</t>
        </is>
      </c>
      <c r="G12" s="20" t="inlineStr">
        <is>
          <t>RT250</t>
        </is>
      </c>
      <c r="H12" s="11" t="n">
        <v>1</v>
      </c>
      <c r="I12" s="17" t="inlineStr">
        <is>
          <t>Activo</t>
        </is>
      </c>
      <c r="J12" s="18" t="inlineStr">
        <is>
          <t>Ver en Klein</t>
        </is>
      </c>
      <c r="K12" s="19" t="inlineStr">
        <is>
          <t>https://www.kleintools.com/catalog/electrical-testers/gfci-receptacle-tester-lcd</t>
        </is>
      </c>
    </row>
    <row r="13">
      <c r="A13" s="11" t="n">
        <v>9</v>
      </c>
      <c r="B13" s="15" t="inlineStr">
        <is>
          <t>KL-ELC-003</t>
        </is>
      </c>
      <c r="C13" s="11" t="inlineStr">
        <is>
          <t>Klein</t>
        </is>
      </c>
      <c r="D13" s="11" t="inlineStr">
        <is>
          <t>Herramienta</t>
        </is>
      </c>
      <c r="E13" s="16" t="inlineStr">
        <is>
          <t>Electricidad</t>
        </is>
      </c>
      <c r="F13" s="16" t="inlineStr">
        <is>
          <t>Circuit Breaker Finder</t>
        </is>
      </c>
      <c r="G13" s="11" t="inlineStr">
        <is>
          <t>ET310</t>
        </is>
      </c>
      <c r="H13" s="11" t="n">
        <v>1</v>
      </c>
      <c r="I13" s="17" t="inlineStr">
        <is>
          <t>Activo</t>
        </is>
      </c>
      <c r="J13" s="18" t="inlineStr">
        <is>
          <t>Ver en Klein</t>
        </is>
      </c>
      <c r="K13" s="19" t="inlineStr">
        <is>
          <t>https://www.kleintools.com/catalog/electrical-testers/digital-circuit-breaker-finder-gfci-outlet-tester</t>
        </is>
      </c>
    </row>
    <row r="14">
      <c r="A14" s="20" t="n">
        <v>10</v>
      </c>
      <c r="B14" s="15" t="inlineStr">
        <is>
          <t>KL-ELC-004</t>
        </is>
      </c>
      <c r="C14" s="20" t="inlineStr">
        <is>
          <t>Klein</t>
        </is>
      </c>
      <c r="D14" s="20" t="inlineStr">
        <is>
          <t>Herramienta</t>
        </is>
      </c>
      <c r="E14" s="21" t="inlineStr">
        <is>
          <t>Electricidad</t>
        </is>
      </c>
      <c r="F14" s="21" t="inlineStr">
        <is>
          <t>Tone and Probe Kit</t>
        </is>
      </c>
      <c r="G14" s="20" t="inlineStr">
        <is>
          <t>VDV500-705P</t>
        </is>
      </c>
      <c r="H14" s="11" t="n">
        <v>1</v>
      </c>
      <c r="I14" s="17" t="inlineStr">
        <is>
          <t>Activo</t>
        </is>
      </c>
      <c r="J14" s="18" t="inlineStr">
        <is>
          <t>Ver en Klein</t>
        </is>
      </c>
      <c r="K14" s="19" t="inlineStr">
        <is>
          <t>https://www.kleintools.com/catalog/tone-probe/tone-probe-test-and-trace-kit</t>
        </is>
      </c>
    </row>
    <row r="15">
      <c r="A15" s="11" t="n">
        <v>11</v>
      </c>
      <c r="B15" s="15" t="inlineStr">
        <is>
          <t>KL-ELC-005</t>
        </is>
      </c>
      <c r="C15" s="11" t="inlineStr">
        <is>
          <t>Klein</t>
        </is>
      </c>
      <c r="D15" s="11" t="inlineStr">
        <is>
          <t>Herramienta</t>
        </is>
      </c>
      <c r="E15" s="16" t="inlineStr">
        <is>
          <t>Electricidad</t>
        </is>
      </c>
      <c r="F15" s="16" t="inlineStr">
        <is>
          <t>6-in-1 Insulated Screwdriver</t>
        </is>
      </c>
      <c r="G15" s="11" t="inlineStr">
        <is>
          <t>32306INS</t>
        </is>
      </c>
      <c r="H15" s="11" t="n">
        <v>1</v>
      </c>
      <c r="I15" s="17" t="inlineStr">
        <is>
          <t>Activo</t>
        </is>
      </c>
      <c r="J15" s="18" t="inlineStr">
        <is>
          <t>Ver en Klein</t>
        </is>
      </c>
      <c r="K15" s="19" t="inlineStr">
        <is>
          <t>https://www.kleintools.com/catalog/electricians-screwdrivers/6-1-insulated-auto-lock-screwdriver</t>
        </is>
      </c>
    </row>
    <row r="16">
      <c r="A16" s="20" t="n">
        <v>12</v>
      </c>
      <c r="B16" s="15" t="inlineStr">
        <is>
          <t>KL-ELC-006</t>
        </is>
      </c>
      <c r="C16" s="20" t="inlineStr">
        <is>
          <t>Klein</t>
        </is>
      </c>
      <c r="D16" s="20" t="inlineStr">
        <is>
          <t>Herramienta</t>
        </is>
      </c>
      <c r="E16" s="21" t="inlineStr">
        <is>
          <t>Electricidad</t>
        </is>
      </c>
      <c r="F16" s="21" t="inlineStr">
        <is>
          <t>9" Insulated Side-Cutting Pliers</t>
        </is>
      </c>
      <c r="G16" s="20" t="inlineStr">
        <is>
          <t>2139NERINS</t>
        </is>
      </c>
      <c r="H16" s="11" t="n">
        <v>1</v>
      </c>
      <c r="I16" s="17" t="inlineStr">
        <is>
          <t>Activo</t>
        </is>
      </c>
      <c r="J16" s="18" t="inlineStr">
        <is>
          <t>Ver en Klein</t>
        </is>
      </c>
      <c r="K16" s="19" t="inlineStr">
        <is>
          <t>https://www.kleintools.com/catalog/electricians-pliers/insulated-pliers-side-cutters-9-inch</t>
        </is>
      </c>
    </row>
    <row r="17">
      <c r="A17" s="11" t="n">
        <v>13</v>
      </c>
      <c r="B17" s="15" t="inlineStr">
        <is>
          <t>KL-ELC-007</t>
        </is>
      </c>
      <c r="C17" s="11" t="inlineStr">
        <is>
          <t>Klein</t>
        </is>
      </c>
      <c r="D17" s="11" t="inlineStr">
        <is>
          <t>Herramienta</t>
        </is>
      </c>
      <c r="E17" s="16" t="inlineStr">
        <is>
          <t>Electricidad</t>
        </is>
      </c>
      <c r="F17" s="16" t="inlineStr">
        <is>
          <t>8" Insulated Diagonal Cutting Pliers</t>
        </is>
      </c>
      <c r="G17" s="11" t="inlineStr">
        <is>
          <t>2288RINS</t>
        </is>
      </c>
      <c r="H17" s="11" t="n">
        <v>1</v>
      </c>
      <c r="I17" s="17" t="inlineStr">
        <is>
          <t>Activo</t>
        </is>
      </c>
      <c r="J17" s="18" t="inlineStr">
        <is>
          <t>Ver en Klein</t>
        </is>
      </c>
      <c r="K17" s="19" t="inlineStr">
        <is>
          <t>https://www.kleintools.com/catalog/electricians-pliers/diagonal-cutting-pliers-insulated-high-leverage-8-inch</t>
        </is>
      </c>
    </row>
    <row r="18">
      <c r="A18" s="20" t="n">
        <v>14</v>
      </c>
      <c r="B18" s="15" t="inlineStr">
        <is>
          <t>KL-ELC-008</t>
        </is>
      </c>
      <c r="C18" s="20" t="inlineStr">
        <is>
          <t>Klein</t>
        </is>
      </c>
      <c r="D18" s="20" t="inlineStr">
        <is>
          <t>Herramienta</t>
        </is>
      </c>
      <c r="E18" s="21" t="inlineStr">
        <is>
          <t>Electricidad</t>
        </is>
      </c>
      <c r="F18" s="21" t="inlineStr">
        <is>
          <t>8" Insulated Long Nose Pliers</t>
        </is>
      </c>
      <c r="G18" s="20" t="inlineStr">
        <is>
          <t>2038RINS</t>
        </is>
      </c>
      <c r="H18" s="11" t="n">
        <v>1</v>
      </c>
      <c r="I18" s="17" t="inlineStr">
        <is>
          <t>Activo</t>
        </is>
      </c>
      <c r="J18" s="18" t="inlineStr">
        <is>
          <t>Ver en Klein</t>
        </is>
      </c>
      <c r="K18" s="19" t="inlineStr">
        <is>
          <t>https://www.kleintools.com/catalog/insulated-pliers/pliers-long-nose-side-cutters-insulated-8-inch</t>
        </is>
      </c>
    </row>
    <row r="19">
      <c r="A19" s="11" t="n">
        <v>15</v>
      </c>
      <c r="B19" s="15" t="inlineStr">
        <is>
          <t>KL-ELC-009</t>
        </is>
      </c>
      <c r="C19" s="11" t="inlineStr">
        <is>
          <t>Klein</t>
        </is>
      </c>
      <c r="D19" s="11" t="inlineStr">
        <is>
          <t>Herramienta</t>
        </is>
      </c>
      <c r="E19" s="16" t="inlineStr">
        <is>
          <t>Electricidad</t>
        </is>
      </c>
      <c r="F19" s="16" t="inlineStr">
        <is>
          <t>Insulated Wire Stripper</t>
        </is>
      </c>
      <c r="G19" s="11" t="inlineStr">
        <is>
          <t>11055RINS</t>
        </is>
      </c>
      <c r="H19" s="11" t="n">
        <v>1</v>
      </c>
      <c r="I19" s="17" t="inlineStr">
        <is>
          <t>Activo</t>
        </is>
      </c>
      <c r="J19" s="18" t="inlineStr">
        <is>
          <t>Ver en Klein</t>
        </is>
      </c>
      <c r="K19" s="19" t="inlineStr">
        <is>
          <t>https://www.kleintools.com/catalog/electricians-cutting-and-crimping-tools/insulated-klein-kurve-wire-stripper-and-cutter</t>
        </is>
      </c>
    </row>
    <row r="20">
      <c r="A20" s="20" t="n">
        <v>16</v>
      </c>
      <c r="B20" s="15" t="inlineStr">
        <is>
          <t>KL-ELC-010</t>
        </is>
      </c>
      <c r="C20" s="20" t="inlineStr">
        <is>
          <t>Klein</t>
        </is>
      </c>
      <c r="D20" s="20" t="inlineStr">
        <is>
          <t>Herramienta</t>
        </is>
      </c>
      <c r="E20" s="21" t="inlineStr">
        <is>
          <t>Electricidad</t>
        </is>
      </c>
      <c r="F20" s="21" t="inlineStr">
        <is>
          <t>8-in-1 Insulated Screwdriver Set</t>
        </is>
      </c>
      <c r="G20" s="20" t="inlineStr">
        <is>
          <t>32288</t>
        </is>
      </c>
      <c r="H20" s="11" t="n">
        <v>1</v>
      </c>
      <c r="I20" s="17" t="inlineStr">
        <is>
          <t>Activo</t>
        </is>
      </c>
      <c r="J20" s="18" t="inlineStr">
        <is>
          <t>Ver en Klein</t>
        </is>
      </c>
      <c r="K20" s="19" t="inlineStr">
        <is>
          <t>https://www.kleintools.com/catalog/electricians-tool-sets/8-1-insulated-interchangeable-screwdriver-set</t>
        </is>
      </c>
    </row>
    <row r="21">
      <c r="A21" s="11" t="n">
        <v>17</v>
      </c>
      <c r="B21" s="15" t="inlineStr">
        <is>
          <t>KL-ELC-011</t>
        </is>
      </c>
      <c r="C21" s="11" t="inlineStr">
        <is>
          <t>Klein</t>
        </is>
      </c>
      <c r="D21" s="11" t="inlineStr">
        <is>
          <t>Herramienta</t>
        </is>
      </c>
      <c r="E21" s="16" t="inlineStr">
        <is>
          <t>Electricidad</t>
        </is>
      </c>
      <c r="F21" s="16" t="inlineStr">
        <is>
          <t>Insulated Crimping and Cutting Tool</t>
        </is>
      </c>
      <c r="G21" s="11" t="inlineStr">
        <is>
          <t>1005RINS</t>
        </is>
      </c>
      <c r="H21" s="11" t="n">
        <v>1</v>
      </c>
      <c r="I21" s="17" t="inlineStr">
        <is>
          <t>Activo</t>
        </is>
      </c>
      <c r="J21" s="18" t="inlineStr">
        <is>
          <t>Ver en Klein</t>
        </is>
      </c>
      <c r="K21" s="19" t="inlineStr">
        <is>
          <t>https://www.kleintools.com/catalog/electricians-cutting-and-crimping-tools/crimping-and-cutting-tool-connectors-insulated</t>
        </is>
      </c>
    </row>
    <row r="22">
      <c r="A22" s="20" t="n">
        <v>18</v>
      </c>
      <c r="B22" s="15" t="inlineStr">
        <is>
          <t>KL-ELC-012</t>
        </is>
      </c>
      <c r="C22" s="20" t="inlineStr">
        <is>
          <t>Klein</t>
        </is>
      </c>
      <c r="D22" s="20" t="inlineStr">
        <is>
          <t>Herramienta</t>
        </is>
      </c>
      <c r="E22" s="21" t="inlineStr">
        <is>
          <t>Electricidad</t>
        </is>
      </c>
      <c r="F22" s="21" t="inlineStr">
        <is>
          <t>Adjustable Length Screwdriver</t>
        </is>
      </c>
      <c r="G22" s="20" t="inlineStr">
        <is>
          <t>32751</t>
        </is>
      </c>
      <c r="H22" s="11" t="n">
        <v>1</v>
      </c>
      <c r="I22" s="17" t="inlineStr">
        <is>
          <t>Activo</t>
        </is>
      </c>
      <c r="J22" s="18" t="inlineStr">
        <is>
          <t>Ver en Klein</t>
        </is>
      </c>
      <c r="K22" s="19" t="inlineStr">
        <is>
          <t>https://www.kleintools.com/catalog/multi-bit-screwdrivers/adjustable-screwdriver-2-phillips-14-inch-slotted</t>
        </is>
      </c>
    </row>
    <row r="23">
      <c r="A23" s="11" t="n">
        <v>19</v>
      </c>
      <c r="B23" s="15" t="inlineStr">
        <is>
          <t>KL-ELC-013</t>
        </is>
      </c>
      <c r="C23" s="11" t="inlineStr">
        <is>
          <t>Klein</t>
        </is>
      </c>
      <c r="D23" s="11" t="inlineStr">
        <is>
          <t>Accesorio</t>
        </is>
      </c>
      <c r="E23" s="16" t="inlineStr">
        <is>
          <t>Electricidad</t>
        </is>
      </c>
      <c r="F23" s="16" t="inlineStr">
        <is>
          <t>Grab-And-Go Impact Socket Set (metrico)</t>
        </is>
      </c>
      <c r="G23" s="11" t="inlineStr">
        <is>
          <t>33809M</t>
        </is>
      </c>
      <c r="H23" s="11" t="n">
        <v>1</v>
      </c>
      <c r="I23" s="17" t="inlineStr">
        <is>
          <t>Activo</t>
        </is>
      </c>
      <c r="J23" s="18" t="inlineStr">
        <is>
          <t>Ver en Klein</t>
        </is>
      </c>
      <c r="K23" s="19" t="inlineStr">
        <is>
          <t>https://www.kleintools.com/catalog/impact-socket-sets/grab-and-go-impact-socket-set-metric-10-piece</t>
        </is>
      </c>
    </row>
    <row r="24">
      <c r="A24" s="20" t="n">
        <v>20</v>
      </c>
      <c r="B24" s="15" t="inlineStr">
        <is>
          <t>MW-M12-001</t>
        </is>
      </c>
      <c r="C24" s="20" t="inlineStr">
        <is>
          <t>Milwaukee</t>
        </is>
      </c>
      <c r="D24" s="20" t="inlineStr">
        <is>
          <t>Herramienta</t>
        </is>
      </c>
      <c r="E24" s="21" t="inlineStr">
        <is>
          <t>Electrica M12</t>
        </is>
      </c>
      <c r="F24" s="21" t="inlineStr">
        <is>
          <t>FUEL Installation Drill/Driver 4-en-1</t>
        </is>
      </c>
      <c r="G24" s="20" t="inlineStr">
        <is>
          <t>2505-20</t>
        </is>
      </c>
      <c r="H24" s="11" t="n">
        <v>1</v>
      </c>
      <c r="I24" s="17" t="inlineStr">
        <is>
          <t>Activo</t>
        </is>
      </c>
      <c r="J24" s="18" t="inlineStr">
        <is>
          <t>Ver en Milwaukee</t>
        </is>
      </c>
      <c r="K24" s="19" t="inlineStr">
        <is>
          <t>https://www.milwaukeetool.com/Products/Power-Tools/Drilling/Installation-Drill-Drivers/M12-FUEL-Installation-Drill-Driver/2505-20</t>
        </is>
      </c>
    </row>
    <row r="25">
      <c r="A25" s="11" t="n">
        <v>21</v>
      </c>
      <c r="B25" s="15" t="inlineStr">
        <is>
          <t>MW-M12-002</t>
        </is>
      </c>
      <c r="C25" s="11" t="inlineStr">
        <is>
          <t>Milwaukee</t>
        </is>
      </c>
      <c r="D25" s="11" t="inlineStr">
        <is>
          <t>Herramienta</t>
        </is>
      </c>
      <c r="E25" s="16" t="inlineStr">
        <is>
          <t>Electrica M12</t>
        </is>
      </c>
      <c r="F25" s="16" t="inlineStr">
        <is>
          <t>FUEL Stubby Impact Wrench</t>
        </is>
      </c>
      <c r="G25" s="11" t="inlineStr">
        <is>
          <t>2563-20</t>
        </is>
      </c>
      <c r="H25" s="11" t="n">
        <v>1</v>
      </c>
      <c r="I25" s="17" t="inlineStr">
        <is>
          <t>Activo</t>
        </is>
      </c>
      <c r="J25" s="18" t="inlineStr">
        <is>
          <t>Ver en Milwaukee</t>
        </is>
      </c>
      <c r="K25" s="19" t="inlineStr">
        <is>
          <t>https://www.milwaukeetool.com/Search?q=2563-20</t>
        </is>
      </c>
    </row>
    <row r="26">
      <c r="A26" s="20" t="n">
        <v>22</v>
      </c>
      <c r="B26" s="15" t="inlineStr">
        <is>
          <t>MW-M12-003</t>
        </is>
      </c>
      <c r="C26" s="20" t="inlineStr">
        <is>
          <t>Milwaukee</t>
        </is>
      </c>
      <c r="D26" s="20" t="inlineStr">
        <is>
          <t>Herramienta</t>
        </is>
      </c>
      <c r="E26" s="21" t="inlineStr">
        <is>
          <t>Electrica M12</t>
        </is>
      </c>
      <c r="F26" s="21" t="inlineStr">
        <is>
          <t>FUEL Hammer Drill</t>
        </is>
      </c>
      <c r="G26" s="20" t="inlineStr">
        <is>
          <t>3404-20</t>
        </is>
      </c>
      <c r="H26" s="11" t="n">
        <v>1</v>
      </c>
      <c r="I26" s="17" t="inlineStr">
        <is>
          <t>Activo</t>
        </is>
      </c>
      <c r="J26" s="18" t="inlineStr">
        <is>
          <t>Ver en Milwaukee</t>
        </is>
      </c>
      <c r="K26" s="19" t="inlineStr">
        <is>
          <t>https://www.milwaukeetool.com/Search?q=3404-20</t>
        </is>
      </c>
    </row>
    <row r="27">
      <c r="A27" s="11" t="n">
        <v>23</v>
      </c>
      <c r="B27" s="15" t="inlineStr">
        <is>
          <t>MW-M12-004</t>
        </is>
      </c>
      <c r="C27" s="11" t="inlineStr">
        <is>
          <t>Milwaukee</t>
        </is>
      </c>
      <c r="D27" s="11" t="inlineStr">
        <is>
          <t>Herramienta</t>
        </is>
      </c>
      <c r="E27" s="16" t="inlineStr">
        <is>
          <t>Electrica M12</t>
        </is>
      </c>
      <c r="F27" s="16" t="inlineStr">
        <is>
          <t>FUEL Impact Driver</t>
        </is>
      </c>
      <c r="G27" s="11" t="inlineStr">
        <is>
          <t>3453-20</t>
        </is>
      </c>
      <c r="H27" s="11" t="n">
        <v>1</v>
      </c>
      <c r="I27" s="17" t="inlineStr">
        <is>
          <t>Activo</t>
        </is>
      </c>
      <c r="J27" s="18" t="inlineStr">
        <is>
          <t>Ver en Milwaukee</t>
        </is>
      </c>
      <c r="K27" s="19" t="inlineStr">
        <is>
          <t>https://www.milwaukeetool.com/Search?q=3453-20</t>
        </is>
      </c>
    </row>
    <row r="28">
      <c r="A28" s="20" t="n">
        <v>24</v>
      </c>
      <c r="B28" s="15" t="inlineStr">
        <is>
          <t>MW-M12-005</t>
        </is>
      </c>
      <c r="C28" s="20" t="inlineStr">
        <is>
          <t>Milwaukee</t>
        </is>
      </c>
      <c r="D28" s="20" t="inlineStr">
        <is>
          <t>Herramienta</t>
        </is>
      </c>
      <c r="E28" s="21" t="inlineStr">
        <is>
          <t>Electrica M12</t>
        </is>
      </c>
      <c r="F28" s="21" t="inlineStr">
        <is>
          <t>FUEL Oscillating Multi-Tool</t>
        </is>
      </c>
      <c r="G28" s="20" t="inlineStr">
        <is>
          <t>2526-20</t>
        </is>
      </c>
      <c r="H28" s="11" t="n">
        <v>1</v>
      </c>
      <c r="I28" s="17" t="inlineStr">
        <is>
          <t>Activo</t>
        </is>
      </c>
      <c r="J28" s="18" t="inlineStr">
        <is>
          <t>Ver en Milwaukee</t>
        </is>
      </c>
      <c r="K28" s="19" t="inlineStr">
        <is>
          <t>https://www.milwaukeetool.com/Search?q=2526-20</t>
        </is>
      </c>
    </row>
    <row r="29">
      <c r="A29" s="11" t="n">
        <v>25</v>
      </c>
      <c r="B29" s="15" t="inlineStr">
        <is>
          <t>MW-M12-006</t>
        </is>
      </c>
      <c r="C29" s="11" t="inlineStr">
        <is>
          <t>Milwaukee</t>
        </is>
      </c>
      <c r="D29" s="11" t="inlineStr">
        <is>
          <t>Herramienta</t>
        </is>
      </c>
      <c r="E29" s="16" t="inlineStr">
        <is>
          <t>Electrica M12</t>
        </is>
      </c>
      <c r="F29" s="16" t="inlineStr">
        <is>
          <t>ROVER Flood Light</t>
        </is>
      </c>
      <c r="G29" s="11" t="inlineStr">
        <is>
          <t>2367-20</t>
        </is>
      </c>
      <c r="H29" s="11" t="n">
        <v>1</v>
      </c>
      <c r="I29" s="17" t="inlineStr">
        <is>
          <t>Activo</t>
        </is>
      </c>
      <c r="J29" s="18" t="inlineStr">
        <is>
          <t>Ver en Milwaukee</t>
        </is>
      </c>
      <c r="K29" s="19" t="inlineStr">
        <is>
          <t>https://www.milwaukeetool.com/Search?q=2367-20</t>
        </is>
      </c>
    </row>
    <row r="30">
      <c r="A30" s="20" t="n">
        <v>26</v>
      </c>
      <c r="B30" s="15" t="inlineStr">
        <is>
          <t>MW-M12-007</t>
        </is>
      </c>
      <c r="C30" s="20" t="inlineStr">
        <is>
          <t>Milwaukee</t>
        </is>
      </c>
      <c r="D30" s="20" t="inlineStr">
        <is>
          <t>Herramienta</t>
        </is>
      </c>
      <c r="E30" s="21" t="inlineStr">
        <is>
          <t>Electrica M12</t>
        </is>
      </c>
      <c r="F30" s="21" t="inlineStr">
        <is>
          <t>FUEL 3" Compact Cut Off Tool</t>
        </is>
      </c>
      <c r="G30" s="20" t="inlineStr">
        <is>
          <t>2522-20</t>
        </is>
      </c>
      <c r="H30" s="11" t="n">
        <v>1</v>
      </c>
      <c r="I30" s="17" t="inlineStr">
        <is>
          <t>Activo</t>
        </is>
      </c>
      <c r="J30" s="18" t="inlineStr">
        <is>
          <t>Ver en Milwaukee</t>
        </is>
      </c>
      <c r="K30" s="19" t="inlineStr">
        <is>
          <t>https://www.milwaukeetool.com/Search?q=2522-20</t>
        </is>
      </c>
    </row>
    <row r="31">
      <c r="A31" s="11" t="n">
        <v>27</v>
      </c>
      <c r="B31" s="15" t="inlineStr">
        <is>
          <t>MW-M18-001</t>
        </is>
      </c>
      <c r="C31" s="11" t="inlineStr">
        <is>
          <t>Milwaukee</t>
        </is>
      </c>
      <c r="D31" s="11" t="inlineStr">
        <is>
          <t>Herramienta</t>
        </is>
      </c>
      <c r="E31" s="16" t="inlineStr">
        <is>
          <t>Electrica M18</t>
        </is>
      </c>
      <c r="F31" s="16" t="inlineStr">
        <is>
          <t>M18 FUEL Sawzall (Sierra Sable)</t>
        </is>
      </c>
      <c r="G31" s="11" t="inlineStr">
        <is>
          <t>2719-20</t>
        </is>
      </c>
      <c r="H31" s="11" t="n">
        <v>1</v>
      </c>
      <c r="I31" s="17" t="inlineStr">
        <is>
          <t>Activo</t>
        </is>
      </c>
      <c r="J31" s="18" t="inlineStr">
        <is>
          <t>Ver en Milwaukee</t>
        </is>
      </c>
      <c r="K31" s="19" t="inlineStr">
        <is>
          <t>https://www.milwaukeetool.com/Search?q=2719-20</t>
        </is>
      </c>
    </row>
    <row r="32">
      <c r="A32" s="20" t="n">
        <v>28</v>
      </c>
      <c r="B32" s="15" t="inlineStr">
        <is>
          <t>MW-M12-BAT-001</t>
        </is>
      </c>
      <c r="C32" s="20" t="inlineStr">
        <is>
          <t>Milwaukee</t>
        </is>
      </c>
      <c r="D32" s="20" t="inlineStr">
        <is>
          <t>Accesorio</t>
        </is>
      </c>
      <c r="E32" s="21" t="inlineStr">
        <is>
          <t>Electrica M12</t>
        </is>
      </c>
      <c r="F32" s="21" t="inlineStr">
        <is>
          <t>Bateria M12 CP 2.0 Ah</t>
        </is>
      </c>
      <c r="G32" s="20" t="inlineStr">
        <is>
          <t>CP 2.0</t>
        </is>
      </c>
      <c r="H32" s="11" t="n">
        <v>3</v>
      </c>
      <c r="I32" s="17" t="inlineStr">
        <is>
          <t>Activo</t>
        </is>
      </c>
      <c r="J32" s="18" t="inlineStr">
        <is>
          <t>Ver en Milwaukee</t>
        </is>
      </c>
      <c r="K32" s="19" t="inlineStr">
        <is>
          <t>https://www.milwaukeetool.com/Products/Power-Tools/Batteries-Chargers/Batteries</t>
        </is>
      </c>
    </row>
    <row r="33">
      <c r="A33" s="11" t="n">
        <v>29</v>
      </c>
      <c r="B33" s="15" t="inlineStr">
        <is>
          <t>MW-M12-BAT-002</t>
        </is>
      </c>
      <c r="C33" s="11" t="inlineStr">
        <is>
          <t>Milwaukee</t>
        </is>
      </c>
      <c r="D33" s="11" t="inlineStr">
        <is>
          <t>Accesorio</t>
        </is>
      </c>
      <c r="E33" s="16" t="inlineStr">
        <is>
          <t>Electrica M12</t>
        </is>
      </c>
      <c r="F33" s="16" t="inlineStr">
        <is>
          <t>Bateria M12 XC 4.0 Ah</t>
        </is>
      </c>
      <c r="G33" s="11" t="inlineStr">
        <is>
          <t>XC 4.0</t>
        </is>
      </c>
      <c r="H33" s="11" t="n">
        <v>1</v>
      </c>
      <c r="I33" s="17" t="inlineStr">
        <is>
          <t>Activo</t>
        </is>
      </c>
      <c r="J33" s="18" t="inlineStr">
        <is>
          <t>Ver en Milwaukee</t>
        </is>
      </c>
      <c r="K33" s="19" t="inlineStr">
        <is>
          <t>https://www.milwaukeetool.com/Products/Power-Tools/Batteries-Chargers/Batteries</t>
        </is>
      </c>
    </row>
    <row r="34">
      <c r="A34" s="20" t="n">
        <v>30</v>
      </c>
      <c r="B34" s="15" t="inlineStr">
        <is>
          <t>MW-M18-BAT-001</t>
        </is>
      </c>
      <c r="C34" s="20" t="inlineStr">
        <is>
          <t>Milwaukee</t>
        </is>
      </c>
      <c r="D34" s="20" t="inlineStr">
        <is>
          <t>Accesorio</t>
        </is>
      </c>
      <c r="E34" s="21" t="inlineStr">
        <is>
          <t>Electrica M18</t>
        </is>
      </c>
      <c r="F34" s="21" t="inlineStr">
        <is>
          <t>Bateria M18 XC 5.0 Ah</t>
        </is>
      </c>
      <c r="G34" s="20" t="inlineStr">
        <is>
          <t>XC 5.0</t>
        </is>
      </c>
      <c r="H34" s="11" t="n">
        <v>3</v>
      </c>
      <c r="I34" s="17" t="inlineStr">
        <is>
          <t>Activo</t>
        </is>
      </c>
      <c r="J34" s="18" t="inlineStr">
        <is>
          <t>Ver en Milwaukee</t>
        </is>
      </c>
      <c r="K34" s="19" t="inlineStr">
        <is>
          <t>https://www.milwaukeetool.com/Products/Power-Tools/Batteries-Chargers/Batteries</t>
        </is>
      </c>
    </row>
    <row r="35">
      <c r="A35" s="11" t="n">
        <v>31</v>
      </c>
      <c r="B35" s="15" t="inlineStr">
        <is>
          <t>MW-M18-CHG-001</t>
        </is>
      </c>
      <c r="C35" s="11" t="inlineStr">
        <is>
          <t>Milwaukee</t>
        </is>
      </c>
      <c r="D35" s="11" t="inlineStr">
        <is>
          <t>Accesorio</t>
        </is>
      </c>
      <c r="E35" s="16" t="inlineStr">
        <is>
          <t>Electrica M18</t>
        </is>
      </c>
      <c r="F35" s="16" t="inlineStr">
        <is>
          <t>Cargador 12-18V</t>
        </is>
      </c>
      <c r="G35" s="11" t="inlineStr">
        <is>
          <t>12-18V</t>
        </is>
      </c>
      <c r="H35" s="11" t="n">
        <v>1</v>
      </c>
      <c r="I35" s="17" t="inlineStr">
        <is>
          <t>Activo</t>
        </is>
      </c>
      <c r="J35" s="18" t="inlineStr">
        <is>
          <t>Ver en Milwaukee</t>
        </is>
      </c>
      <c r="K35" s="19" t="inlineStr">
        <is>
          <t>https://www.milwaukeetool.com/Products/Power-Tools/Batteries-Chargers/Chargers</t>
        </is>
      </c>
    </row>
    <row r="36">
      <c r="A36" s="20" t="n">
        <v>32</v>
      </c>
      <c r="B36" s="15" t="inlineStr">
        <is>
          <t>MW-PKO-001</t>
        </is>
      </c>
      <c r="C36" s="20" t="inlineStr">
        <is>
          <t>Milwaukee</t>
        </is>
      </c>
      <c r="D36" s="20" t="inlineStr">
        <is>
          <t>Organizacion</t>
        </is>
      </c>
      <c r="E36" s="21" t="inlineStr">
        <is>
          <t>Organizacion</t>
        </is>
      </c>
      <c r="F36" s="21" t="inlineStr">
        <is>
          <t>PACKOUT Backpack</t>
        </is>
      </c>
      <c r="G36" s="20" t="inlineStr">
        <is>
          <t>48-22-8301</t>
        </is>
      </c>
      <c r="H36" s="11" t="n">
        <v>1</v>
      </c>
      <c r="I36" s="17" t="inlineStr">
        <is>
          <t>Activo</t>
        </is>
      </c>
      <c r="J36" s="18" t="inlineStr">
        <is>
          <t>Ver en Milwaukee</t>
        </is>
      </c>
      <c r="K36" s="19" t="inlineStr">
        <is>
          <t>https://www.milwaukeetool.com/Search?q=48-22-8301</t>
        </is>
      </c>
    </row>
    <row r="37">
      <c r="A37" s="11" t="n">
        <v>33</v>
      </c>
      <c r="B37" s="15" t="inlineStr">
        <is>
          <t>MW-PKO-002</t>
        </is>
      </c>
      <c r="C37" s="11" t="inlineStr">
        <is>
          <t>Milwaukee</t>
        </is>
      </c>
      <c r="D37" s="11" t="inlineStr">
        <is>
          <t>Organizacion</t>
        </is>
      </c>
      <c r="E37" s="16" t="inlineStr">
        <is>
          <t>Organizacion</t>
        </is>
      </c>
      <c r="F37" s="16" t="inlineStr">
        <is>
          <t>PACKOUT Compact Organizer</t>
        </is>
      </c>
      <c r="G37" s="11" t="inlineStr">
        <is>
          <t>48-22-8435</t>
        </is>
      </c>
      <c r="H37" s="11" t="n">
        <v>1</v>
      </c>
      <c r="I37" s="17" t="inlineStr">
        <is>
          <t>Activo</t>
        </is>
      </c>
      <c r="J37" s="18" t="inlineStr">
        <is>
          <t>Ver en Milwaukee</t>
        </is>
      </c>
      <c r="K37" s="19" t="inlineStr">
        <is>
          <t>https://www.milwaukeetool.com/Search?q=48-22-8435</t>
        </is>
      </c>
    </row>
    <row r="38">
      <c r="A38" s="20" t="n">
        <v>34</v>
      </c>
      <c r="B38" s="15" t="inlineStr">
        <is>
          <t>MW-PKO-005</t>
        </is>
      </c>
      <c r="C38" s="20" t="inlineStr">
        <is>
          <t>Milwaukee</t>
        </is>
      </c>
      <c r="D38" s="20" t="inlineStr">
        <is>
          <t>Organizacion</t>
        </is>
      </c>
      <c r="E38" s="21" t="inlineStr">
        <is>
          <t>Organizacion</t>
        </is>
      </c>
      <c r="F38" s="21" t="inlineStr">
        <is>
          <t>PACKOUT Organizer 19 pulg</t>
        </is>
      </c>
      <c r="G38" s="20" t="inlineStr">
        <is>
          <t>48-22-8431</t>
        </is>
      </c>
      <c r="H38" s="11" t="n">
        <v>1</v>
      </c>
      <c r="I38" s="17" t="inlineStr">
        <is>
          <t>Activo</t>
        </is>
      </c>
      <c r="J38" s="18" t="inlineStr">
        <is>
          <t>Ver en Milwaukee</t>
        </is>
      </c>
      <c r="K38" s="19" t="inlineStr">
        <is>
          <t>https://www.milwaukeetool.com/Search?q=48-22-8431</t>
        </is>
      </c>
    </row>
    <row r="39">
      <c r="A39" s="11" t="n">
        <v>35</v>
      </c>
      <c r="B39" s="15" t="inlineStr">
        <is>
          <t>HO-ORG-001</t>
        </is>
      </c>
      <c r="C39" s="11" t="inlineStr">
        <is>
          <t>Holstery</t>
        </is>
      </c>
      <c r="D39" s="11" t="inlineStr">
        <is>
          <t>Organizacion</t>
        </is>
      </c>
      <c r="E39" s="16" t="inlineStr">
        <is>
          <t>Organizacion</t>
        </is>
      </c>
      <c r="F39" s="16" t="inlineStr">
        <is>
          <t>ModPouch Clip-On Modular Tool Pouch (Standard)</t>
        </is>
      </c>
      <c r="G39" s="11" t="inlineStr">
        <is>
          <t>ModPouch</t>
        </is>
      </c>
      <c r="H39" s="11" t="n">
        <v>1</v>
      </c>
      <c r="I39" s="17" t="inlineStr">
        <is>
          <t>Activo</t>
        </is>
      </c>
      <c r="J39" s="18" t="inlineStr">
        <is>
          <t>Ver en Holstery</t>
        </is>
      </c>
      <c r="K39" s="19" t="inlineStr">
        <is>
          <t>https://holstery.com/products/mod-pouch-clip-on-modular-tool-pouch</t>
        </is>
      </c>
    </row>
    <row r="40">
      <c r="A40" s="20" t="n">
        <v>36</v>
      </c>
      <c r="B40" s="15" t="inlineStr">
        <is>
          <t>HO-ORG-002</t>
        </is>
      </c>
      <c r="C40" s="20" t="inlineStr">
        <is>
          <t>Holstery</t>
        </is>
      </c>
      <c r="D40" s="20" t="inlineStr">
        <is>
          <t>Organizacion</t>
        </is>
      </c>
      <c r="E40" s="21" t="inlineStr">
        <is>
          <t>Organizacion</t>
        </is>
      </c>
      <c r="F40" s="21" t="inlineStr">
        <is>
          <t>DriverMaster Clip-On Drill Holster</t>
        </is>
      </c>
      <c r="G40" s="20" t="inlineStr">
        <is>
          <t>DriverMaster</t>
        </is>
      </c>
      <c r="H40" s="11" t="n">
        <v>1</v>
      </c>
      <c r="I40" s="17" t="inlineStr">
        <is>
          <t>Activo</t>
        </is>
      </c>
      <c r="J40" s="18" t="inlineStr">
        <is>
          <t>Ver en Holstery</t>
        </is>
      </c>
      <c r="K40" s="19" t="inlineStr">
        <is>
          <t>https://holstery.com/products/drivermaster-v2-clip-on-drill-holster</t>
        </is>
      </c>
    </row>
    <row r="41">
      <c r="A41" s="11" t="n">
        <v>37</v>
      </c>
      <c r="B41" s="15" t="inlineStr">
        <is>
          <t>HO-ORG-003</t>
        </is>
      </c>
      <c r="C41" s="11" t="inlineStr">
        <is>
          <t>Holstery</t>
        </is>
      </c>
      <c r="D41" s="11" t="inlineStr">
        <is>
          <t>Organizacion</t>
        </is>
      </c>
      <c r="E41" s="16" t="inlineStr">
        <is>
          <t>Organizacion</t>
        </is>
      </c>
      <c r="F41" s="16" t="inlineStr">
        <is>
          <t>MagMaster Magnetic Tool and Hardware Holder</t>
        </is>
      </c>
      <c r="G41" s="11" t="inlineStr">
        <is>
          <t>MagMaster V2</t>
        </is>
      </c>
      <c r="H41" s="11" t="n">
        <v>1</v>
      </c>
      <c r="I41" s="17" t="inlineStr">
        <is>
          <t>Activo</t>
        </is>
      </c>
      <c r="J41" s="18" t="inlineStr">
        <is>
          <t>Ver en Holstery</t>
        </is>
      </c>
      <c r="K41" s="19" t="inlineStr">
        <is>
          <t>https://holstery.com/products/magmaster-v2-magnetic-tool-and-hardware-holder</t>
        </is>
      </c>
    </row>
    <row r="42">
      <c r="A42" s="20" t="n">
        <v>38</v>
      </c>
      <c r="B42" s="15" t="inlineStr">
        <is>
          <t>RA-ORG-001</t>
        </is>
      </c>
      <c r="C42" s="20" t="inlineStr">
        <is>
          <t>Railer</t>
        </is>
      </c>
      <c r="D42" s="20" t="inlineStr">
        <is>
          <t>Organizacion</t>
        </is>
      </c>
      <c r="E42" s="21" t="inlineStr">
        <is>
          <t>Organizacion</t>
        </is>
      </c>
      <c r="F42" s="21" t="inlineStr">
        <is>
          <t>Bitrail 20-hole bit holder set (2 pc) + carabiners</t>
        </is>
      </c>
      <c r="G42" s="20" t="inlineStr">
        <is>
          <t>RB2BKORC</t>
        </is>
      </c>
      <c r="H42" s="11" t="n">
        <v>2</v>
      </c>
      <c r="I42" s="17" t="inlineStr">
        <is>
          <t>Activo</t>
        </is>
      </c>
      <c r="J42" s="18" t="inlineStr">
        <is>
          <t>Ver en Railer</t>
        </is>
      </c>
      <c r="K42" s="19" t="inlineStr">
        <is>
          <t>https://www.amazon.com/dp/B0CNDY32SX</t>
        </is>
      </c>
    </row>
    <row r="43">
      <c r="A43" s="11" t="n">
        <v>39</v>
      </c>
      <c r="B43" s="15" t="inlineStr">
        <is>
          <t>SK-ELC-001</t>
        </is>
      </c>
      <c r="C43" s="11" t="inlineStr">
        <is>
          <t>Skil</t>
        </is>
      </c>
      <c r="D43" s="11" t="inlineStr">
        <is>
          <t>Herramienta</t>
        </is>
      </c>
      <c r="E43" s="16" t="inlineStr">
        <is>
          <t>Electrica</t>
        </is>
      </c>
      <c r="F43" s="16" t="inlineStr">
        <is>
          <t>Martillo Automatico</t>
        </is>
      </c>
      <c r="G43" s="11" t="inlineStr">
        <is>
          <t>AH6552A-00</t>
        </is>
      </c>
      <c r="H43" s="11" t="n">
        <v>1</v>
      </c>
      <c r="I43" s="17" t="inlineStr">
        <is>
          <t>Activo</t>
        </is>
      </c>
      <c r="J43" s="18" t="inlineStr">
        <is>
          <t>Ver en Skil</t>
        </is>
      </c>
      <c r="K43" s="19" t="inlineStr">
        <is>
          <t>https://www.skil.com/search?q=AH6552A</t>
        </is>
      </c>
    </row>
    <row r="44">
      <c r="A44" s="20" t="n">
        <v>40</v>
      </c>
      <c r="B44" s="15" t="inlineStr">
        <is>
          <t>AN-ELC-001</t>
        </is>
      </c>
      <c r="C44" s="20" t="inlineStr">
        <is>
          <t>Antive</t>
        </is>
      </c>
      <c r="D44" s="20" t="inlineStr">
        <is>
          <t>Herramienta</t>
        </is>
      </c>
      <c r="E44" s="21" t="inlineStr">
        <is>
          <t>Electrica</t>
        </is>
      </c>
      <c r="F44" s="21" t="inlineStr">
        <is>
          <t>Tijeras Electricas Inalambricas</t>
        </is>
      </c>
      <c r="G44" s="20" t="inlineStr">
        <is>
          <t>E-S01</t>
        </is>
      </c>
      <c r="H44" s="11" t="n">
        <v>1</v>
      </c>
      <c r="I44" s="17" t="inlineStr">
        <is>
          <t>Activo</t>
        </is>
      </c>
      <c r="J44" s="18" t="inlineStr">
        <is>
          <t>Ver en Antive</t>
        </is>
      </c>
      <c r="K44" s="19" t="inlineStr">
        <is>
          <t>https://www.amazon.com/s?k=Antive+E-S01+electric+scissors</t>
        </is>
      </c>
    </row>
    <row r="45">
      <c r="A45" s="11" t="n">
        <v>41</v>
      </c>
      <c r="B45" s="15" t="inlineStr">
        <is>
          <t>HP-PRE-001</t>
        </is>
      </c>
      <c r="C45" s="11" t="inlineStr">
        <is>
          <t>Huepar</t>
        </is>
      </c>
      <c r="D45" s="11" t="inlineStr">
        <is>
          <t>Herramienta</t>
        </is>
      </c>
      <c r="E45" s="16" t="inlineStr">
        <is>
          <t>Precision</t>
        </is>
      </c>
      <c r="F45" s="16" t="inlineStr">
        <is>
          <t>Nivel Laser Verde Cross-Line</t>
        </is>
      </c>
      <c r="G45" s="11" t="inlineStr">
        <is>
          <t>BOX-1G</t>
        </is>
      </c>
      <c r="H45" s="11" t="n">
        <v>1</v>
      </c>
      <c r="I45" s="17" t="inlineStr">
        <is>
          <t>Activo</t>
        </is>
      </c>
      <c r="J45" s="18" t="inlineStr">
        <is>
          <t>Ver en Huepar</t>
        </is>
      </c>
      <c r="K45" s="19" t="inlineStr">
        <is>
          <t>https://huepar.com/products/huepar-box1g-laser-level</t>
        </is>
      </c>
    </row>
    <row r="46">
      <c r="A46" s="20" t="n">
        <v>42</v>
      </c>
      <c r="B46" s="15" t="inlineStr">
        <is>
          <t>FR-PRE-001</t>
        </is>
      </c>
      <c r="C46" s="20" t="inlineStr">
        <is>
          <t>Franklin</t>
        </is>
      </c>
      <c r="D46" s="20" t="inlineStr">
        <is>
          <t>Herramienta</t>
        </is>
      </c>
      <c r="E46" s="21" t="inlineStr">
        <is>
          <t>Precision</t>
        </is>
      </c>
      <c r="F46" s="21" t="inlineStr">
        <is>
          <t>Nivel Digital Electronico</t>
        </is>
      </c>
      <c r="G46" s="20" t="inlineStr">
        <is>
          <t>iA12</t>
        </is>
      </c>
      <c r="H46" s="11" t="n">
        <v>1</v>
      </c>
      <c r="I46" s="17" t="inlineStr">
        <is>
          <t>Activo</t>
        </is>
      </c>
      <c r="J46" s="18" t="inlineStr">
        <is>
          <t>Ver en Franklin</t>
        </is>
      </c>
      <c r="K46" s="19" t="inlineStr">
        <is>
          <t>https://www.amazon.com/s?k=Franklin+Sensors+iA12</t>
        </is>
      </c>
    </row>
    <row r="47">
      <c r="A47" s="11" t="n">
        <v>43</v>
      </c>
      <c r="B47" s="15" t="inlineStr">
        <is>
          <t>LX-SLD-001</t>
        </is>
      </c>
      <c r="C47" s="11" t="inlineStr">
        <is>
          <t>LEXIVON</t>
        </is>
      </c>
      <c r="D47" s="11" t="inlineStr">
        <is>
          <t>Herramienta</t>
        </is>
      </c>
      <c r="E47" s="16" t="inlineStr">
        <is>
          <t>Soldadura</t>
        </is>
      </c>
      <c r="F47" s="16" t="inlineStr">
        <is>
          <t>Soldador de Butano 7 puntas</t>
        </is>
      </c>
      <c r="G47" s="11" t="inlineStr">
        <is>
          <t>LX-770</t>
        </is>
      </c>
      <c r="H47" s="11" t="n">
        <v>1</v>
      </c>
      <c r="I47" s="17" t="inlineStr">
        <is>
          <t>Activo</t>
        </is>
      </c>
      <c r="J47" s="18" t="inlineStr">
        <is>
          <t>Ver en LEXIVON</t>
        </is>
      </c>
      <c r="K47" s="19" t="inlineStr">
        <is>
          <t>https://www.lexivon.com/products/lx-770</t>
        </is>
      </c>
    </row>
    <row r="48">
      <c r="A48" s="20" t="n">
        <v>44</v>
      </c>
      <c r="B48" s="15" t="inlineStr">
        <is>
          <t>MW-SEG-001</t>
        </is>
      </c>
      <c r="C48" s="20" t="inlineStr">
        <is>
          <t>Milwaukee</t>
        </is>
      </c>
      <c r="D48" s="20" t="inlineStr">
        <is>
          <t>Seguridad</t>
        </is>
      </c>
      <c r="E48" s="21" t="inlineStr">
        <is>
          <t>Seguridad</t>
        </is>
      </c>
      <c r="F48" s="21" t="inlineStr">
        <is>
          <t>Lentes de seguridad</t>
        </is>
      </c>
      <c r="G48" s="20" t="inlineStr">
        <is>
          <t>48-73-2013</t>
        </is>
      </c>
      <c r="H48" s="11" t="n">
        <v>1</v>
      </c>
      <c r="I48" s="17" t="inlineStr">
        <is>
          <t>Activo</t>
        </is>
      </c>
      <c r="J48" s="18" t="inlineStr">
        <is>
          <t>Ver en Milwaukee</t>
        </is>
      </c>
      <c r="K48" s="19" t="inlineStr">
        <is>
          <t>https://www.milwaukeetool.com/Search?q=48-73-2013</t>
        </is>
      </c>
    </row>
    <row r="49">
      <c r="A49" s="11" t="n">
        <v>45</v>
      </c>
      <c r="B49" s="15" t="inlineStr">
        <is>
          <t>MW-SEG-002</t>
        </is>
      </c>
      <c r="C49" s="11" t="inlineStr">
        <is>
          <t>Milwaukee</t>
        </is>
      </c>
      <c r="D49" s="11" t="inlineStr">
        <is>
          <t>Seguridad</t>
        </is>
      </c>
      <c r="E49" s="16" t="inlineStr">
        <is>
          <t>Seguridad</t>
        </is>
      </c>
      <c r="F49" s="16" t="inlineStr">
        <is>
          <t>Guantes PACKOUT Cut Level 1 Smartswipe</t>
        </is>
      </c>
      <c r="G49" s="11" t="inlineStr">
        <is>
          <t>48-73-2013</t>
        </is>
      </c>
      <c r="H49" s="11" t="n">
        <v>1</v>
      </c>
      <c r="I49" s="17" t="inlineStr">
        <is>
          <t>Activo</t>
        </is>
      </c>
      <c r="J49" s="18" t="inlineStr">
        <is>
          <t>Ver en Milwaukee</t>
        </is>
      </c>
      <c r="K49" s="19" t="inlineStr">
        <is>
          <t>https://www.milwaukeetool.com/Search?q=PACKOUT+Cut+Level+Smartswipe+gloves</t>
        </is>
      </c>
    </row>
    <row r="50">
      <c r="A50" s="20" t="n">
        <v>46</v>
      </c>
      <c r="B50" s="15" t="inlineStr">
        <is>
          <t>YN-SEG-001</t>
        </is>
      </c>
      <c r="C50" s="20" t="inlineStr">
        <is>
          <t>Youneedthat</t>
        </is>
      </c>
      <c r="D50" s="20" t="inlineStr">
        <is>
          <t>Seguridad</t>
        </is>
      </c>
      <c r="E50" s="21" t="inlineStr">
        <is>
          <t>Seguridad</t>
        </is>
      </c>
      <c r="F50" s="21" t="inlineStr">
        <is>
          <t>Guantes aislantes electricos 400V latex (M, 2 pares)</t>
        </is>
      </c>
      <c r="G50" s="20" t="inlineStr">
        <is>
          <t>400V-M/2 pairs</t>
        </is>
      </c>
      <c r="H50" s="11" t="n">
        <v>2</v>
      </c>
      <c r="I50" s="17" t="inlineStr">
        <is>
          <t>Activo</t>
        </is>
      </c>
      <c r="J50" s="18" t="inlineStr">
        <is>
          <t>Ver en Youneedthat</t>
        </is>
      </c>
      <c r="K50" s="19" t="inlineStr">
        <is>
          <t>https://www.amazon.com/dp/B0DSYSKYW2</t>
        </is>
      </c>
    </row>
    <row r="51">
      <c r="A51" s="11" t="n">
        <v>47</v>
      </c>
      <c r="B51" s="15" t="inlineStr">
        <is>
          <t>MW-ACC-001</t>
        </is>
      </c>
      <c r="C51" s="11" t="inlineStr">
        <is>
          <t>Milwaukee</t>
        </is>
      </c>
      <c r="D51" s="11" t="inlineStr">
        <is>
          <t>Accesorio</t>
        </is>
      </c>
      <c r="E51" s="16" t="inlineStr">
        <is>
          <t>Accesorio</t>
        </is>
      </c>
      <c r="F51" s="16" t="inlineStr">
        <is>
          <t>Juego de 3 hojas para Multi-Tool</t>
        </is>
      </c>
      <c r="G51" s="11" t="inlineStr">
        <is>
          <t>49-10-9001</t>
        </is>
      </c>
      <c r="H51" s="11" t="n">
        <v>1</v>
      </c>
      <c r="I51" s="17" t="inlineStr">
        <is>
          <t>Activo</t>
        </is>
      </c>
      <c r="J51" s="18" t="inlineStr">
        <is>
          <t>Ver en Milwaukee</t>
        </is>
      </c>
      <c r="K51" s="19" t="inlineStr">
        <is>
          <t>https://www.milwaukeetool.com/Search?q=49-10-9001</t>
        </is>
      </c>
    </row>
    <row r="52">
      <c r="A52" s="20" t="n">
        <v>48</v>
      </c>
      <c r="B52" s="15" t="inlineStr">
        <is>
          <t>MT-ACC-001</t>
        </is>
      </c>
      <c r="C52" s="20" t="inlineStr">
        <is>
          <t>MTO</t>
        </is>
      </c>
      <c r="D52" s="20" t="inlineStr">
        <is>
          <t>Accesorio</t>
        </is>
      </c>
      <c r="E52" s="21" t="inlineStr">
        <is>
          <t>Accesorio</t>
        </is>
      </c>
      <c r="F52" s="21" t="inlineStr">
        <is>
          <t>Wing Nut Driver Set 4PCS (9/12/15/18mm) 1/4 hex</t>
        </is>
      </c>
      <c r="G52" s="20" t="inlineStr">
        <is>
          <t>MTO-WND-4P</t>
        </is>
      </c>
      <c r="H52" s="11" t="n">
        <v>1</v>
      </c>
      <c r="I52" s="17" t="inlineStr">
        <is>
          <t>Activo</t>
        </is>
      </c>
      <c r="J52" s="18" t="inlineStr">
        <is>
          <t>Ver en MTO</t>
        </is>
      </c>
      <c r="K52" s="19" t="inlineStr">
        <is>
          <t>https://www.amazon.com/dp/B0FD3BHQMV</t>
        </is>
      </c>
    </row>
  </sheetData>
  <autoFilter ref="A4:K52"/>
  <mergeCells count="2">
    <mergeCell ref="A1:K1"/>
    <mergeCell ref="A3:K3"/>
  </mergeCells>
  <dataValidations count="1">
    <dataValidation sqref="I5:I52" showDropDown="0" showInputMessage="0" showErrorMessage="0" allowBlank="0" type="list">
      <formula1>"Activo,Baja,Prestado"</formula1>
    </dataValidation>
  </dataValidations>
  <hyperlinks>
    <hyperlink xmlns:r="http://schemas.openxmlformats.org/officeDocument/2006/relationships" ref="J5" r:id="rId1"/>
    <hyperlink xmlns:r="http://schemas.openxmlformats.org/officeDocument/2006/relationships" ref="K5" r:id="rId2"/>
    <hyperlink xmlns:r="http://schemas.openxmlformats.org/officeDocument/2006/relationships" ref="J6" r:id="rId3"/>
    <hyperlink xmlns:r="http://schemas.openxmlformats.org/officeDocument/2006/relationships" ref="K6" r:id="rId4"/>
    <hyperlink xmlns:r="http://schemas.openxmlformats.org/officeDocument/2006/relationships" ref="J7" r:id="rId5"/>
    <hyperlink xmlns:r="http://schemas.openxmlformats.org/officeDocument/2006/relationships" ref="K7" r:id="rId6"/>
    <hyperlink xmlns:r="http://schemas.openxmlformats.org/officeDocument/2006/relationships" ref="J8" r:id="rId7"/>
    <hyperlink xmlns:r="http://schemas.openxmlformats.org/officeDocument/2006/relationships" ref="K8" r:id="rId8"/>
    <hyperlink xmlns:r="http://schemas.openxmlformats.org/officeDocument/2006/relationships" ref="J9" r:id="rId9"/>
    <hyperlink xmlns:r="http://schemas.openxmlformats.org/officeDocument/2006/relationships" ref="K9" r:id="rId10"/>
    <hyperlink xmlns:r="http://schemas.openxmlformats.org/officeDocument/2006/relationships" ref="J10" r:id="rId11"/>
    <hyperlink xmlns:r="http://schemas.openxmlformats.org/officeDocument/2006/relationships" ref="K10" r:id="rId12"/>
    <hyperlink xmlns:r="http://schemas.openxmlformats.org/officeDocument/2006/relationships" ref="J11" r:id="rId13"/>
    <hyperlink xmlns:r="http://schemas.openxmlformats.org/officeDocument/2006/relationships" ref="K11" r:id="rId14"/>
    <hyperlink xmlns:r="http://schemas.openxmlformats.org/officeDocument/2006/relationships" ref="J12" r:id="rId15"/>
    <hyperlink xmlns:r="http://schemas.openxmlformats.org/officeDocument/2006/relationships" ref="K12" r:id="rId16"/>
    <hyperlink xmlns:r="http://schemas.openxmlformats.org/officeDocument/2006/relationships" ref="J13" r:id="rId17"/>
    <hyperlink xmlns:r="http://schemas.openxmlformats.org/officeDocument/2006/relationships" ref="K13" r:id="rId18"/>
    <hyperlink xmlns:r="http://schemas.openxmlformats.org/officeDocument/2006/relationships" ref="J14" r:id="rId19"/>
    <hyperlink xmlns:r="http://schemas.openxmlformats.org/officeDocument/2006/relationships" ref="K14" r:id="rId20"/>
    <hyperlink xmlns:r="http://schemas.openxmlformats.org/officeDocument/2006/relationships" ref="J15" r:id="rId21"/>
    <hyperlink xmlns:r="http://schemas.openxmlformats.org/officeDocument/2006/relationships" ref="K15" r:id="rId22"/>
    <hyperlink xmlns:r="http://schemas.openxmlformats.org/officeDocument/2006/relationships" ref="J16" r:id="rId23"/>
    <hyperlink xmlns:r="http://schemas.openxmlformats.org/officeDocument/2006/relationships" ref="K16" r:id="rId24"/>
    <hyperlink xmlns:r="http://schemas.openxmlformats.org/officeDocument/2006/relationships" ref="J17" r:id="rId25"/>
    <hyperlink xmlns:r="http://schemas.openxmlformats.org/officeDocument/2006/relationships" ref="K17" r:id="rId26"/>
    <hyperlink xmlns:r="http://schemas.openxmlformats.org/officeDocument/2006/relationships" ref="J18" r:id="rId27"/>
    <hyperlink xmlns:r="http://schemas.openxmlformats.org/officeDocument/2006/relationships" ref="K18" r:id="rId28"/>
    <hyperlink xmlns:r="http://schemas.openxmlformats.org/officeDocument/2006/relationships" ref="J19" r:id="rId29"/>
    <hyperlink xmlns:r="http://schemas.openxmlformats.org/officeDocument/2006/relationships" ref="K19" r:id="rId30"/>
    <hyperlink xmlns:r="http://schemas.openxmlformats.org/officeDocument/2006/relationships" ref="J20" r:id="rId31"/>
    <hyperlink xmlns:r="http://schemas.openxmlformats.org/officeDocument/2006/relationships" ref="K20" r:id="rId32"/>
    <hyperlink xmlns:r="http://schemas.openxmlformats.org/officeDocument/2006/relationships" ref="J21" r:id="rId33"/>
    <hyperlink xmlns:r="http://schemas.openxmlformats.org/officeDocument/2006/relationships" ref="K21" r:id="rId34"/>
    <hyperlink xmlns:r="http://schemas.openxmlformats.org/officeDocument/2006/relationships" ref="J22" r:id="rId35"/>
    <hyperlink xmlns:r="http://schemas.openxmlformats.org/officeDocument/2006/relationships" ref="K22" r:id="rId36"/>
    <hyperlink xmlns:r="http://schemas.openxmlformats.org/officeDocument/2006/relationships" ref="J23" r:id="rId37"/>
    <hyperlink xmlns:r="http://schemas.openxmlformats.org/officeDocument/2006/relationships" ref="K23" r:id="rId38"/>
    <hyperlink xmlns:r="http://schemas.openxmlformats.org/officeDocument/2006/relationships" ref="J24" r:id="rId39"/>
    <hyperlink xmlns:r="http://schemas.openxmlformats.org/officeDocument/2006/relationships" ref="K24" r:id="rId40"/>
    <hyperlink xmlns:r="http://schemas.openxmlformats.org/officeDocument/2006/relationships" ref="J25" r:id="rId41"/>
    <hyperlink xmlns:r="http://schemas.openxmlformats.org/officeDocument/2006/relationships" ref="K25" r:id="rId42"/>
    <hyperlink xmlns:r="http://schemas.openxmlformats.org/officeDocument/2006/relationships" ref="J26" r:id="rId43"/>
    <hyperlink xmlns:r="http://schemas.openxmlformats.org/officeDocument/2006/relationships" ref="K26" r:id="rId44"/>
    <hyperlink xmlns:r="http://schemas.openxmlformats.org/officeDocument/2006/relationships" ref="J27" r:id="rId45"/>
    <hyperlink xmlns:r="http://schemas.openxmlformats.org/officeDocument/2006/relationships" ref="K27" r:id="rId46"/>
    <hyperlink xmlns:r="http://schemas.openxmlformats.org/officeDocument/2006/relationships" ref="J28" r:id="rId47"/>
    <hyperlink xmlns:r="http://schemas.openxmlformats.org/officeDocument/2006/relationships" ref="K28" r:id="rId48"/>
    <hyperlink xmlns:r="http://schemas.openxmlformats.org/officeDocument/2006/relationships" ref="J29" r:id="rId49"/>
    <hyperlink xmlns:r="http://schemas.openxmlformats.org/officeDocument/2006/relationships" ref="K29" r:id="rId50"/>
    <hyperlink xmlns:r="http://schemas.openxmlformats.org/officeDocument/2006/relationships" ref="J30" r:id="rId51"/>
    <hyperlink xmlns:r="http://schemas.openxmlformats.org/officeDocument/2006/relationships" ref="K30" r:id="rId52"/>
    <hyperlink xmlns:r="http://schemas.openxmlformats.org/officeDocument/2006/relationships" ref="J31" r:id="rId53"/>
    <hyperlink xmlns:r="http://schemas.openxmlformats.org/officeDocument/2006/relationships" ref="K31" r:id="rId54"/>
    <hyperlink xmlns:r="http://schemas.openxmlformats.org/officeDocument/2006/relationships" ref="J32" r:id="rId55"/>
    <hyperlink xmlns:r="http://schemas.openxmlformats.org/officeDocument/2006/relationships" ref="K32" r:id="rId56"/>
    <hyperlink xmlns:r="http://schemas.openxmlformats.org/officeDocument/2006/relationships" ref="J33" r:id="rId57"/>
    <hyperlink xmlns:r="http://schemas.openxmlformats.org/officeDocument/2006/relationships" ref="K33" r:id="rId58"/>
    <hyperlink xmlns:r="http://schemas.openxmlformats.org/officeDocument/2006/relationships" ref="J34" r:id="rId59"/>
    <hyperlink xmlns:r="http://schemas.openxmlformats.org/officeDocument/2006/relationships" ref="K34" r:id="rId60"/>
    <hyperlink xmlns:r="http://schemas.openxmlformats.org/officeDocument/2006/relationships" ref="J35" r:id="rId61"/>
    <hyperlink xmlns:r="http://schemas.openxmlformats.org/officeDocument/2006/relationships" ref="K35" r:id="rId62"/>
    <hyperlink xmlns:r="http://schemas.openxmlformats.org/officeDocument/2006/relationships" ref="J36" r:id="rId63"/>
    <hyperlink xmlns:r="http://schemas.openxmlformats.org/officeDocument/2006/relationships" ref="K36" r:id="rId64"/>
    <hyperlink xmlns:r="http://schemas.openxmlformats.org/officeDocument/2006/relationships" ref="J37" r:id="rId65"/>
    <hyperlink xmlns:r="http://schemas.openxmlformats.org/officeDocument/2006/relationships" ref="K37" r:id="rId66"/>
    <hyperlink xmlns:r="http://schemas.openxmlformats.org/officeDocument/2006/relationships" ref="J38" r:id="rId67"/>
    <hyperlink xmlns:r="http://schemas.openxmlformats.org/officeDocument/2006/relationships" ref="K38" r:id="rId68"/>
    <hyperlink xmlns:r="http://schemas.openxmlformats.org/officeDocument/2006/relationships" ref="J39" r:id="rId69"/>
    <hyperlink xmlns:r="http://schemas.openxmlformats.org/officeDocument/2006/relationships" ref="K39" r:id="rId70"/>
    <hyperlink xmlns:r="http://schemas.openxmlformats.org/officeDocument/2006/relationships" ref="J40" r:id="rId71"/>
    <hyperlink xmlns:r="http://schemas.openxmlformats.org/officeDocument/2006/relationships" ref="K40" r:id="rId72"/>
    <hyperlink xmlns:r="http://schemas.openxmlformats.org/officeDocument/2006/relationships" ref="J41" r:id="rId73"/>
    <hyperlink xmlns:r="http://schemas.openxmlformats.org/officeDocument/2006/relationships" ref="K41" r:id="rId74"/>
    <hyperlink xmlns:r="http://schemas.openxmlformats.org/officeDocument/2006/relationships" ref="J42" r:id="rId75"/>
    <hyperlink xmlns:r="http://schemas.openxmlformats.org/officeDocument/2006/relationships" ref="K42" r:id="rId76"/>
    <hyperlink xmlns:r="http://schemas.openxmlformats.org/officeDocument/2006/relationships" ref="J43" r:id="rId77"/>
    <hyperlink xmlns:r="http://schemas.openxmlformats.org/officeDocument/2006/relationships" ref="K43" r:id="rId78"/>
    <hyperlink xmlns:r="http://schemas.openxmlformats.org/officeDocument/2006/relationships" ref="J44" r:id="rId79"/>
    <hyperlink xmlns:r="http://schemas.openxmlformats.org/officeDocument/2006/relationships" ref="K44" r:id="rId80"/>
    <hyperlink xmlns:r="http://schemas.openxmlformats.org/officeDocument/2006/relationships" ref="J45" r:id="rId81"/>
    <hyperlink xmlns:r="http://schemas.openxmlformats.org/officeDocument/2006/relationships" ref="K45" r:id="rId82"/>
    <hyperlink xmlns:r="http://schemas.openxmlformats.org/officeDocument/2006/relationships" ref="J46" r:id="rId83"/>
    <hyperlink xmlns:r="http://schemas.openxmlformats.org/officeDocument/2006/relationships" ref="K46" r:id="rId84"/>
    <hyperlink xmlns:r="http://schemas.openxmlformats.org/officeDocument/2006/relationships" ref="J47" r:id="rId85"/>
    <hyperlink xmlns:r="http://schemas.openxmlformats.org/officeDocument/2006/relationships" ref="K47" r:id="rId86"/>
    <hyperlink xmlns:r="http://schemas.openxmlformats.org/officeDocument/2006/relationships" ref="J48" r:id="rId87"/>
    <hyperlink xmlns:r="http://schemas.openxmlformats.org/officeDocument/2006/relationships" ref="K48" r:id="rId88"/>
    <hyperlink xmlns:r="http://schemas.openxmlformats.org/officeDocument/2006/relationships" ref="J49" r:id="rId89"/>
    <hyperlink xmlns:r="http://schemas.openxmlformats.org/officeDocument/2006/relationships" ref="K49" r:id="rId90"/>
    <hyperlink xmlns:r="http://schemas.openxmlformats.org/officeDocument/2006/relationships" ref="J50" r:id="rId91"/>
    <hyperlink xmlns:r="http://schemas.openxmlformats.org/officeDocument/2006/relationships" ref="K50" r:id="rId92"/>
    <hyperlink xmlns:r="http://schemas.openxmlformats.org/officeDocument/2006/relationships" ref="J51" r:id="rId93"/>
    <hyperlink xmlns:r="http://schemas.openxmlformats.org/officeDocument/2006/relationships" ref="K51" r:id="rId94"/>
    <hyperlink xmlns:r="http://schemas.openxmlformats.org/officeDocument/2006/relationships" ref="J52" r:id="rId95"/>
    <hyperlink xmlns:r="http://schemas.openxmlformats.org/officeDocument/2006/relationships" ref="K52" r:id="rId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0" customWidth="1" min="4" max="4"/>
    <col width="14" customWidth="1" min="5" max="5"/>
    <col width="14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Pendientes de compra - Arsenal Multioficio 2026</t>
        </is>
      </c>
    </row>
    <row r="2">
      <c r="A2" s="2" t="inlineStr">
        <is>
          <t>Prioridad 1 = mas urgente. Codigo = ID reservado (misma logica por linea). Montos en colones (CRC).</t>
        </is>
      </c>
    </row>
    <row r="4">
      <c r="A4" s="22" t="inlineStr">
        <is>
          <t>Prioridad</t>
        </is>
      </c>
      <c r="B4" s="22" t="inlineStr">
        <is>
          <t>Codigo</t>
        </is>
      </c>
      <c r="C4" s="22" t="inlineStr">
        <is>
          <t>Marca</t>
        </is>
      </c>
      <c r="D4" s="22" t="inlineStr">
        <is>
          <t>Herramienta</t>
        </is>
      </c>
      <c r="E4" s="22" t="inlineStr">
        <is>
          <t>Modelo</t>
        </is>
      </c>
      <c r="F4" s="22" t="inlineStr">
        <is>
          <t>Precio (CRC)</t>
        </is>
      </c>
      <c r="G4" s="22" t="inlineStr">
        <is>
          <t>Notas</t>
        </is>
      </c>
      <c r="H4" s="22" t="inlineStr">
        <is>
          <t>Enlace marca</t>
        </is>
      </c>
      <c r="I4" s="22" t="inlineStr">
        <is>
          <t>URL</t>
        </is>
      </c>
    </row>
    <row r="5">
      <c r="A5" s="23" t="n">
        <v>1</v>
      </c>
      <c r="B5" s="15" t="inlineStr">
        <is>
          <t>KL-SOC-001</t>
        </is>
      </c>
      <c r="C5" s="23" t="inlineStr">
        <is>
          <t>Klein</t>
        </is>
      </c>
      <c r="D5" s="24" t="inlineStr">
        <is>
          <t>KNECT 15-Piece Pass Through Socket Set</t>
        </is>
      </c>
      <c r="E5" s="23" t="inlineStr">
        <is>
          <t>65400</t>
        </is>
      </c>
      <c r="F5" s="24" t="n"/>
      <c r="G5" s="24" t="inlineStr">
        <is>
          <t>Sockets</t>
        </is>
      </c>
      <c r="H5" s="25" t="inlineStr">
        <is>
          <t>Ver en Klein</t>
        </is>
      </c>
      <c r="I5" s="26" t="inlineStr">
        <is>
          <t>https://www.kleintools.com/catalog/socket-wrenches/knect-38-inch-drive-impact-rated-pass-through-socket-set-15-piece</t>
        </is>
      </c>
    </row>
    <row r="6">
      <c r="A6" s="23" t="n">
        <v>2</v>
      </c>
      <c r="B6" s="15" t="inlineStr">
        <is>
          <t>KL-MED-001</t>
        </is>
      </c>
      <c r="C6" s="23" t="inlineStr">
        <is>
          <t>Klein</t>
        </is>
      </c>
      <c r="D6" s="24" t="inlineStr">
        <is>
          <t>Clamp Meter 600A</t>
        </is>
      </c>
      <c r="E6" s="23" t="inlineStr">
        <is>
          <t>CL810</t>
        </is>
      </c>
      <c r="F6" s="27" t="n">
        <v>80000</v>
      </c>
      <c r="G6" s="24" t="inlineStr">
        <is>
          <t>Medicion</t>
        </is>
      </c>
      <c r="H6" s="25" t="inlineStr">
        <is>
          <t>Ver en Klein</t>
        </is>
      </c>
      <c r="I6" s="26" t="inlineStr">
        <is>
          <t>https://www.kleintools.com/catalog/clamp-meters/600a-acdc-auto-ranging-trms-clamp-meter-worklight</t>
        </is>
      </c>
    </row>
    <row r="7">
      <c r="A7" s="23" t="n">
        <v>3</v>
      </c>
      <c r="B7" s="15" t="inlineStr">
        <is>
          <t>MW-PKO-003</t>
        </is>
      </c>
      <c r="C7" s="23" t="inlineStr">
        <is>
          <t>Milwaukee</t>
        </is>
      </c>
      <c r="D7" s="24" t="inlineStr">
        <is>
          <t>PACKOUT Rolling Drawer Tool Box</t>
        </is>
      </c>
      <c r="E7" s="23" t="inlineStr">
        <is>
          <t>48-22-8420</t>
        </is>
      </c>
      <c r="F7" s="24" t="n"/>
      <c r="G7" s="24" t="inlineStr">
        <is>
          <t>Organizacion</t>
        </is>
      </c>
      <c r="H7" s="25" t="inlineStr">
        <is>
          <t>Ver en Milwaukee</t>
        </is>
      </c>
      <c r="I7" s="26" t="inlineStr">
        <is>
          <t>https://www.milwaukeetool.com/Search?q=48-22-8420</t>
        </is>
      </c>
    </row>
    <row r="8">
      <c r="A8" s="23" t="n">
        <v>4</v>
      </c>
      <c r="B8" s="15" t="inlineStr">
        <is>
          <t>MW-PKO-004</t>
        </is>
      </c>
      <c r="C8" s="23" t="inlineStr">
        <is>
          <t>Milwaukee</t>
        </is>
      </c>
      <c r="D8" s="24" t="inlineStr">
        <is>
          <t>PACKOUT 2-Wheel Utility Cart</t>
        </is>
      </c>
      <c r="E8" s="23" t="inlineStr">
        <is>
          <t>48-22-8415</t>
        </is>
      </c>
      <c r="F8" s="24" t="n"/>
      <c r="G8" s="24" t="inlineStr">
        <is>
          <t>Organizacion</t>
        </is>
      </c>
      <c r="H8" s="25" t="inlineStr">
        <is>
          <t>Ver en Milwaukee</t>
        </is>
      </c>
      <c r="I8" s="26" t="inlineStr">
        <is>
          <t>https://www.milwaukeetool.com/Search?q=48-22-8415</t>
        </is>
      </c>
    </row>
    <row r="9">
      <c r="A9" s="23" t="n">
        <v>5</v>
      </c>
      <c r="B9" s="15" t="inlineStr">
        <is>
          <t>MW-M12-008</t>
        </is>
      </c>
      <c r="C9" s="23" t="inlineStr">
        <is>
          <t>Milwaukee</t>
        </is>
      </c>
      <c r="D9" s="24" t="inlineStr">
        <is>
          <t>M12 AIRSNAKE</t>
        </is>
      </c>
      <c r="E9" s="23" t="inlineStr">
        <is>
          <t>2572B-21</t>
        </is>
      </c>
      <c r="F9" s="27" t="n">
        <v>280000</v>
      </c>
      <c r="G9" s="24" t="inlineStr">
        <is>
          <t>Fontaneria</t>
        </is>
      </c>
      <c r="H9" s="25" t="inlineStr">
        <is>
          <t>Ver en Milwaukee</t>
        </is>
      </c>
      <c r="I9" s="26" t="inlineStr">
        <is>
          <t>https://www.milwaukeetool.com/Search?q=2572B-21</t>
        </is>
      </c>
    </row>
    <row r="10">
      <c r="A10" s="23" t="n">
        <v>6</v>
      </c>
      <c r="B10" s="15" t="inlineStr">
        <is>
          <t>CNS-ORD-AMZ-001</t>
        </is>
      </c>
      <c r="C10" s="23" t="inlineStr">
        <is>
          <t>Amazon</t>
        </is>
      </c>
      <c r="D10" s="24" t="inlineStr">
        <is>
          <t>Terminar de cargar orden consumibles Amazon</t>
        </is>
      </c>
      <c r="E10" s="23" t="inlineStr">
        <is>
          <t>orden haisstronica</t>
        </is>
      </c>
      <c r="F10" s="24" t="n"/>
      <c r="G10" s="24" t="inlineStr">
        <is>
          <t>Consumibles</t>
        </is>
      </c>
      <c r="H10" s="25" t="inlineStr">
        <is>
          <t>Ver en Amazon</t>
        </is>
      </c>
      <c r="I10" s="26" t="inlineStr">
        <is>
          <t>https://www.amazon.com/</t>
        </is>
      </c>
    </row>
    <row r="12">
      <c r="E12" s="28" t="inlineStr">
        <is>
          <t>Total estimado (con precio):</t>
        </is>
      </c>
      <c r="F12" s="29">
        <f>SUM(F5:F10)</f>
        <v/>
      </c>
    </row>
  </sheetData>
  <autoFilter ref="A4:I10"/>
  <mergeCells count="1">
    <mergeCell ref="A1:I1"/>
  </mergeCells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H7" r:id="rId5"/>
    <hyperlink xmlns:r="http://schemas.openxmlformats.org/officeDocument/2006/relationships" ref="I7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H9" r:id="rId9"/>
    <hyperlink xmlns:r="http://schemas.openxmlformats.org/officeDocument/2006/relationships" ref="I9" r:id="rId10"/>
    <hyperlink xmlns:r="http://schemas.openxmlformats.org/officeDocument/2006/relationships" ref="H10" r:id="rId11"/>
    <hyperlink xmlns:r="http://schemas.openxmlformats.org/officeDocument/2006/relationships" ref="I10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8" customWidth="1" min="4" max="4"/>
    <col width="40" customWidth="1" min="5" max="5"/>
    <col width="20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  <col width="42" customWidth="1" min="12" max="12"/>
  </cols>
  <sheetData>
    <row r="1" ht="24" customHeight="1">
      <c r="A1" s="1" t="inlineStr">
        <is>
          <t>Consumibles - Arsenal Multioficio 2026</t>
        </is>
      </c>
    </row>
    <row r="2">
      <c r="A2" s="2" t="inlineStr">
        <is>
          <t>Clase = familia. Tipo terminal si es conector. Ubicacion = codigo del contenedor (ej. MW-PKO-005 = PACKOUT Organizer 19). Por COLOR. NO pieza a pieza.</t>
        </is>
      </c>
    </row>
    <row r="3">
      <c r="A3" s="13" t="inlineStr">
        <is>
          <t>Codigo CNS-*-###. Clases: Conector electrico | Cinta / aislante | Fijacion | Corte / desgaste | Quimico / sellado | Otro. Ubic. PACKOUT actual conectores: MW-PKO-005. Clic en Nombre = link compra.</t>
        </is>
      </c>
    </row>
    <row r="4" ht="22" customHeight="1">
      <c r="A4" s="30" t="inlineStr">
        <is>
          <t>#</t>
        </is>
      </c>
      <c r="B4" s="30" t="inlineStr">
        <is>
          <t>Codigo</t>
        </is>
      </c>
      <c r="C4" s="30" t="inlineStr">
        <is>
          <t>Clase</t>
        </is>
      </c>
      <c r="D4" s="30" t="inlineStr">
        <is>
          <t>Tipo terminal</t>
        </is>
      </c>
      <c r="E4" s="30" t="inlineStr">
        <is>
          <t>Nombre / kit</t>
        </is>
      </c>
      <c r="F4" s="30" t="inlineStr">
        <is>
          <t>Marca / ref</t>
        </is>
      </c>
      <c r="G4" s="30" t="inlineStr">
        <is>
          <t>Forma</t>
        </is>
      </c>
      <c r="H4" s="30" t="inlineStr">
        <is>
          <t>Cantidad</t>
        </is>
      </c>
      <c r="I4" s="30" t="inlineStr">
        <is>
          <t>Umbral reorden</t>
        </is>
      </c>
      <c r="J4" s="30" t="inlineStr">
        <is>
          <t>Estado</t>
        </is>
      </c>
      <c r="K4" s="30" t="inlineStr">
        <is>
          <t>Ubicacion</t>
        </is>
      </c>
      <c r="L4" s="30" t="inlineStr">
        <is>
          <t>Notas / URL</t>
        </is>
      </c>
    </row>
    <row r="5">
      <c r="A5" s="31" t="n">
        <v>1</v>
      </c>
      <c r="B5" s="15" t="inlineStr">
        <is>
          <t>CNS-SPD-ROJ-001</t>
        </is>
      </c>
      <c r="C5" s="32" t="inlineStr">
        <is>
          <t>Conector electrico</t>
        </is>
      </c>
      <c r="D5" s="32" t="inlineStr">
        <is>
          <t>Spade (pala / quick disconnect)</t>
        </is>
      </c>
      <c r="E5" s="33" t="inlineStr">
        <is>
          <t>Heat shrink Male/Female — ROJO 22-16 AWG</t>
        </is>
      </c>
      <c r="F5" s="34" t="inlineStr">
        <is>
          <t>haisstronica B0D1K6L6TL</t>
        </is>
      </c>
      <c r="G5" s="31" t="inlineStr">
        <is>
          <t>aprox</t>
        </is>
      </c>
      <c r="H5" s="31" t="n">
        <v>60</v>
      </c>
      <c r="I5" s="34" t="n">
        <v>15</v>
      </c>
      <c r="J5" s="35" t="inlineStr">
        <is>
          <t>Tengo</t>
        </is>
      </c>
      <c r="K5" s="36" t="inlineStr">
        <is>
          <t>MW-PKO-005</t>
        </is>
      </c>
      <c r="L5" s="34" t="inlineStr">
        <is>
          <t>En PACKOUT Organizer 19 (MW-PKO-005). SPADE rojo. Kit 160PCS. Aprox al reponer.</t>
        </is>
      </c>
    </row>
    <row r="6">
      <c r="A6" s="37" t="n">
        <v>2</v>
      </c>
      <c r="B6" s="15" t="inlineStr">
        <is>
          <t>CNS-SPD-AZU-001</t>
        </is>
      </c>
      <c r="C6" s="38" t="inlineStr">
        <is>
          <t>Conector electrico</t>
        </is>
      </c>
      <c r="D6" s="38" t="inlineStr">
        <is>
          <t>Spade (pala / quick disconnect)</t>
        </is>
      </c>
      <c r="E6" s="39" t="inlineStr">
        <is>
          <t>Heat shrink Male/Female — AZUL 16-14 AWG</t>
        </is>
      </c>
      <c r="F6" s="40" t="inlineStr">
        <is>
          <t>haisstronica B0D1K6L6TL</t>
        </is>
      </c>
      <c r="G6" s="37" t="inlineStr">
        <is>
          <t>aprox</t>
        </is>
      </c>
      <c r="H6" s="37" t="n">
        <v>60</v>
      </c>
      <c r="I6" s="40" t="n">
        <v>15</v>
      </c>
      <c r="J6" s="35" t="inlineStr">
        <is>
          <t>Tengo</t>
        </is>
      </c>
      <c r="K6" s="36" t="inlineStr">
        <is>
          <t>MW-PKO-005</t>
        </is>
      </c>
      <c r="L6" s="40" t="inlineStr">
        <is>
          <t>En PACKOUT Organizer 19 (MW-PKO-005). SPADE azul. Kit 160PCS. Aprox al reponer.</t>
        </is>
      </c>
    </row>
    <row r="7">
      <c r="A7" s="41" t="n">
        <v>3</v>
      </c>
      <c r="B7" s="15" t="inlineStr">
        <is>
          <t>CNS-SPD-AMA-001</t>
        </is>
      </c>
      <c r="C7" s="42" t="inlineStr">
        <is>
          <t>Conector electrico</t>
        </is>
      </c>
      <c r="D7" s="42" t="inlineStr">
        <is>
          <t>Spade (pala / quick disconnect)</t>
        </is>
      </c>
      <c r="E7" s="43" t="inlineStr">
        <is>
          <t>Heat shrink Male/Female — AMARILLO 12-10 AWG</t>
        </is>
      </c>
      <c r="F7" s="44" t="inlineStr">
        <is>
          <t>haisstronica B0D1K6L6TL</t>
        </is>
      </c>
      <c r="G7" s="41" t="inlineStr">
        <is>
          <t>aprox</t>
        </is>
      </c>
      <c r="H7" s="41" t="n">
        <v>40</v>
      </c>
      <c r="I7" s="44" t="n">
        <v>10</v>
      </c>
      <c r="J7" s="35" t="inlineStr">
        <is>
          <t>Tengo</t>
        </is>
      </c>
      <c r="K7" s="36" t="inlineStr">
        <is>
          <t>MW-PKO-005</t>
        </is>
      </c>
      <c r="L7" s="44" t="inlineStr">
        <is>
          <t>En PACKOUT Organizer 19 (MW-PKO-005). SPADE amarillo. Kit 160PCS. Aprox al reponer.</t>
        </is>
      </c>
    </row>
    <row r="8">
      <c r="A8" s="20" t="n">
        <v>4</v>
      </c>
      <c r="B8" s="15" t="inlineStr">
        <is>
          <t>CNS-BTT-BLA-001</t>
        </is>
      </c>
      <c r="C8" s="45" t="inlineStr">
        <is>
          <t>Conector electrico</t>
        </is>
      </c>
      <c r="D8" s="45" t="inlineStr">
        <is>
          <t>Butt (empalme / solder seal)</t>
        </is>
      </c>
      <c r="E8" s="46" t="inlineStr">
        <is>
          <t>Solder seal butt — BLANCO 26-24 AWG</t>
        </is>
      </c>
      <c r="F8" s="21" t="inlineStr">
        <is>
          <t>haisstronica B07C3NBTJ9</t>
        </is>
      </c>
      <c r="G8" s="20" t="inlineStr">
        <is>
          <t>aprox</t>
        </is>
      </c>
      <c r="H8" s="20" t="n">
        <v>25</v>
      </c>
      <c r="I8" s="21" t="n">
        <v>6</v>
      </c>
      <c r="J8" s="35" t="inlineStr">
        <is>
          <t>Tengo</t>
        </is>
      </c>
      <c r="K8" s="36" t="inlineStr">
        <is>
          <t>MW-PKO-005</t>
        </is>
      </c>
      <c r="L8" s="21" t="inlineStr">
        <is>
          <t>Butt solder seal. BLANCO 26-24 (0.25-0.34mm2) x25. Kit 120PCS. Ubic. MW-PKO-005.</t>
        </is>
      </c>
    </row>
    <row r="9">
      <c r="A9" s="31" t="n">
        <v>5</v>
      </c>
      <c r="B9" s="15" t="inlineStr">
        <is>
          <t>CNS-BTT-ROJ-001</t>
        </is>
      </c>
      <c r="C9" s="32" t="inlineStr">
        <is>
          <t>Conector electrico</t>
        </is>
      </c>
      <c r="D9" s="32" t="inlineStr">
        <is>
          <t>Butt (empalme / solder seal)</t>
        </is>
      </c>
      <c r="E9" s="33" t="inlineStr">
        <is>
          <t>Solder seal butt — ROJO 22-18 AWG</t>
        </is>
      </c>
      <c r="F9" s="34" t="inlineStr">
        <is>
          <t>haisstronica B07C3NBTJ9</t>
        </is>
      </c>
      <c r="G9" s="31" t="inlineStr">
        <is>
          <t>aprox</t>
        </is>
      </c>
      <c r="H9" s="31" t="n">
        <v>45</v>
      </c>
      <c r="I9" s="34" t="n">
        <v>10</v>
      </c>
      <c r="J9" s="35" t="inlineStr">
        <is>
          <t>Tengo</t>
        </is>
      </c>
      <c r="K9" s="36" t="inlineStr">
        <is>
          <t>MW-PKO-005</t>
        </is>
      </c>
      <c r="L9" s="34" t="inlineStr">
        <is>
          <t>Butt solder seal. ROJO 22-18 (0.5-1.0mm2) x45. Kit 120PCS. Ubic. MW-PKO-005.</t>
        </is>
      </c>
    </row>
    <row r="10">
      <c r="A10" s="37" t="n">
        <v>6</v>
      </c>
      <c r="B10" s="15" t="inlineStr">
        <is>
          <t>CNS-BTT-AZU-001</t>
        </is>
      </c>
      <c r="C10" s="38" t="inlineStr">
        <is>
          <t>Conector electrico</t>
        </is>
      </c>
      <c r="D10" s="38" t="inlineStr">
        <is>
          <t>Butt (empalme / solder seal)</t>
        </is>
      </c>
      <c r="E10" s="39" t="inlineStr">
        <is>
          <t>Solder seal butt — AZUL 16-14 AWG</t>
        </is>
      </c>
      <c r="F10" s="40" t="inlineStr">
        <is>
          <t>haisstronica B07C3NBTJ9</t>
        </is>
      </c>
      <c r="G10" s="37" t="inlineStr">
        <is>
          <t>aprox</t>
        </is>
      </c>
      <c r="H10" s="37" t="n">
        <v>40</v>
      </c>
      <c r="I10" s="40" t="n">
        <v>10</v>
      </c>
      <c r="J10" s="35" t="inlineStr">
        <is>
          <t>Tengo</t>
        </is>
      </c>
      <c r="K10" s="36" t="inlineStr">
        <is>
          <t>MW-PKO-005</t>
        </is>
      </c>
      <c r="L10" s="40" t="inlineStr">
        <is>
          <t>Butt solder seal. AZUL 16-14 (1.5-2.5mm2) x40. Kit 120PCS. Ubic. MW-PKO-005.</t>
        </is>
      </c>
    </row>
    <row r="11">
      <c r="A11" s="41" t="n">
        <v>7</v>
      </c>
      <c r="B11" s="15" t="inlineStr">
        <is>
          <t>CNS-BTT-AMA-001</t>
        </is>
      </c>
      <c r="C11" s="42" t="inlineStr">
        <is>
          <t>Conector electrico</t>
        </is>
      </c>
      <c r="D11" s="42" t="inlineStr">
        <is>
          <t>Butt (empalme / solder seal)</t>
        </is>
      </c>
      <c r="E11" s="43" t="inlineStr">
        <is>
          <t>Solder seal butt — AMARILLO 12-10 AWG</t>
        </is>
      </c>
      <c r="F11" s="44" t="inlineStr">
        <is>
          <t>haisstronica B07C3NBTJ9</t>
        </is>
      </c>
      <c r="G11" s="41" t="inlineStr">
        <is>
          <t>aprox</t>
        </is>
      </c>
      <c r="H11" s="41" t="n">
        <v>10</v>
      </c>
      <c r="I11" s="44" t="n">
        <v>3</v>
      </c>
      <c r="J11" s="35" t="inlineStr">
        <is>
          <t>Tengo</t>
        </is>
      </c>
      <c r="K11" s="36" t="inlineStr">
        <is>
          <t>MW-PKO-005</t>
        </is>
      </c>
      <c r="L11" s="44" t="inlineStr">
        <is>
          <t>Butt solder seal. AMARILLO 12-10 (4.0-6.0mm2) x10. Kit 120PCS. Ubic. MW-PKO-005.</t>
        </is>
      </c>
    </row>
    <row r="12">
      <c r="A12" s="20" t="n">
        <v>8</v>
      </c>
      <c r="B12" s="15" t="inlineStr">
        <is>
          <t>CNS-BHC-BLA-001</t>
        </is>
      </c>
      <c r="C12" s="45" t="inlineStr">
        <is>
          <t>Conector electrico</t>
        </is>
      </c>
      <c r="D12" s="45" t="inlineStr">
        <is>
          <t>Butt (empalme / heat shrink crimp)</t>
        </is>
      </c>
      <c r="E12" s="46" t="inlineStr">
        <is>
          <t>Heat shrink crimp butt BHT-0.5 — BLANCO 26-24 AWG (0.5mm)</t>
        </is>
      </c>
      <c r="F12" s="21" t="inlineStr">
        <is>
          <t>haisstronica B07RX6QYX5 | BHT-0.5</t>
        </is>
      </c>
      <c r="G12" s="20" t="inlineStr">
        <is>
          <t>aprox</t>
        </is>
      </c>
      <c r="H12" s="20" t="n">
        <v>50</v>
      </c>
      <c r="I12" s="21" t="n">
        <v>12</v>
      </c>
      <c r="J12" s="35" t="inlineStr">
        <is>
          <t>Tengo</t>
        </is>
      </c>
      <c r="K12" s="36" t="inlineStr">
        <is>
          <t>MW-PKO-005</t>
        </is>
      </c>
      <c r="L12" s="21" t="inlineStr">
        <is>
          <t>Butt heat-shrink CRIMP (no solder). BHT-0.5 blanco. Kit 200PCS. Ubic. MW-PKO-005.</t>
        </is>
      </c>
    </row>
    <row r="13">
      <c r="A13" s="47" t="n">
        <v>9</v>
      </c>
      <c r="B13" s="15" t="inlineStr">
        <is>
          <t>CNS-BHC-ROS-001</t>
        </is>
      </c>
      <c r="C13" s="48" t="inlineStr">
        <is>
          <t>Conector electrico</t>
        </is>
      </c>
      <c r="D13" s="48" t="inlineStr">
        <is>
          <t>Butt (empalme / heat shrink crimp)</t>
        </is>
      </c>
      <c r="E13" s="49" t="inlineStr">
        <is>
          <t>Heat shrink crimp butt BHT-1.25 — ROSA 22-16 AWG (0.7mm)</t>
        </is>
      </c>
      <c r="F13" s="50" t="inlineStr">
        <is>
          <t>haisstronica B07RX6QYX5 | BHT-1.25</t>
        </is>
      </c>
      <c r="G13" s="47" t="inlineStr">
        <is>
          <t>aprox</t>
        </is>
      </c>
      <c r="H13" s="47" t="n">
        <v>50</v>
      </c>
      <c r="I13" s="50" t="n">
        <v>12</v>
      </c>
      <c r="J13" s="35" t="inlineStr">
        <is>
          <t>Tengo</t>
        </is>
      </c>
      <c r="K13" s="36" t="inlineStr">
        <is>
          <t>MW-PKO-005</t>
        </is>
      </c>
      <c r="L13" s="50" t="inlineStr">
        <is>
          <t>Butt heat-shrink CRIMP. BHT-1.25 rosa/pink (a veces listado rojo). Kit 200PCS. Ubic. MW-PKO-005.</t>
        </is>
      </c>
    </row>
    <row r="14">
      <c r="A14" s="37" t="n">
        <v>10</v>
      </c>
      <c r="B14" s="15" t="inlineStr">
        <is>
          <t>CNS-BHC-AZU-001</t>
        </is>
      </c>
      <c r="C14" s="38" t="inlineStr">
        <is>
          <t>Conector electrico</t>
        </is>
      </c>
      <c r="D14" s="38" t="inlineStr">
        <is>
          <t>Butt (empalme / heat shrink crimp)</t>
        </is>
      </c>
      <c r="E14" s="39" t="inlineStr">
        <is>
          <t>Heat shrink crimp butt BHT-2 — AZUL 16-14 AWG (0.8mm)</t>
        </is>
      </c>
      <c r="F14" s="40" t="inlineStr">
        <is>
          <t>haisstronica B07RX6QYX5 | BHT-2</t>
        </is>
      </c>
      <c r="G14" s="37" t="inlineStr">
        <is>
          <t>aprox</t>
        </is>
      </c>
      <c r="H14" s="37" t="n">
        <v>50</v>
      </c>
      <c r="I14" s="40" t="n">
        <v>12</v>
      </c>
      <c r="J14" s="35" t="inlineStr">
        <is>
          <t>Tengo</t>
        </is>
      </c>
      <c r="K14" s="36" t="inlineStr">
        <is>
          <t>MW-PKO-005</t>
        </is>
      </c>
      <c r="L14" s="40" t="inlineStr">
        <is>
          <t>Butt heat-shrink CRIMP. BHT-2 azul. Kit 200PCS. Ubic. MW-PKO-005.</t>
        </is>
      </c>
    </row>
    <row r="15">
      <c r="A15" s="41" t="n">
        <v>11</v>
      </c>
      <c r="B15" s="15" t="inlineStr">
        <is>
          <t>CNS-BHC-AMA-001</t>
        </is>
      </c>
      <c r="C15" s="42" t="inlineStr">
        <is>
          <t>Conector electrico</t>
        </is>
      </c>
      <c r="D15" s="42" t="inlineStr">
        <is>
          <t>Butt (empalme / heat shrink crimp)</t>
        </is>
      </c>
      <c r="E15" s="43" t="inlineStr">
        <is>
          <t>Heat shrink crimp butt BHT-5.5 — AMARILLO 12-10 AWG (1.0mm)</t>
        </is>
      </c>
      <c r="F15" s="44" t="inlineStr">
        <is>
          <t>haisstronica B07RX6QYX5 | BHT-5.5</t>
        </is>
      </c>
      <c r="G15" s="41" t="inlineStr">
        <is>
          <t>aprox</t>
        </is>
      </c>
      <c r="H15" s="41" t="n">
        <v>50</v>
      </c>
      <c r="I15" s="44" t="n">
        <v>12</v>
      </c>
      <c r="J15" s="35" t="inlineStr">
        <is>
          <t>Tengo</t>
        </is>
      </c>
      <c r="K15" s="36" t="inlineStr">
        <is>
          <t>MW-PKO-005</t>
        </is>
      </c>
      <c r="L15" s="44" t="inlineStr">
        <is>
          <t>Butt heat-shrink CRIMP. BHT-5.5 amarillo. Kit 200PCS. Ubic. MW-PKO-005.</t>
        </is>
      </c>
    </row>
    <row r="16">
      <c r="A16" s="51" t="n">
        <v>12</v>
      </c>
      <c r="B16" s="15" t="inlineStr">
        <is>
          <t>CNS-BNI-1210-001</t>
        </is>
      </c>
      <c r="C16" s="52" t="inlineStr">
        <is>
          <t>Conector electrico</t>
        </is>
      </c>
      <c r="D16" s="52" t="inlineStr">
        <is>
          <t>Butt (empalme / non-insulated crimp)</t>
        </is>
      </c>
      <c r="E16" s="53" t="inlineStr">
        <is>
          <t>Non-insulated butt tinned copper — AWG 12-10 (50PCS)</t>
        </is>
      </c>
      <c r="F16" s="54" t="inlineStr">
        <is>
          <t>haisstronica B0F1N2WH51</t>
        </is>
      </c>
      <c r="G16" s="51" t="inlineStr">
        <is>
          <t>paquete</t>
        </is>
      </c>
      <c r="H16" s="51" t="n">
        <v>50</v>
      </c>
      <c r="I16" s="54" t="n">
        <v>12</v>
      </c>
      <c r="J16" s="35" t="inlineStr">
        <is>
          <t>Tengo</t>
        </is>
      </c>
      <c r="K16" s="36" t="inlineStr">
        <is>
          <t>MW-PKO-005</t>
        </is>
      </c>
      <c r="L16" s="54" t="inlineStr">
        <is>
          <t>Butt NO aislado, cobre estanado. Solo 12-10 AWG x50. Recomienda heat shrink aparte. Ubic. MW-PKO-005.</t>
        </is>
      </c>
    </row>
    <row r="17">
      <c r="A17" s="51" t="n">
        <v>13</v>
      </c>
      <c r="B17" s="15" t="inlineStr">
        <is>
          <t>CNS-RNI-516-001</t>
        </is>
      </c>
      <c r="C17" s="52" t="inlineStr">
        <is>
          <t>Conector electrico</t>
        </is>
      </c>
      <c r="D17" s="52" t="inlineStr">
        <is>
          <t>Ring (ojal / non-insulated crimp)</t>
        </is>
      </c>
      <c r="E17" s="53" t="inlineStr">
        <is>
          <t>Kit ring 5/16" stud AWG 12-10 + heat shrink 3:1 (50+50)</t>
        </is>
      </c>
      <c r="F17" s="54" t="inlineStr">
        <is>
          <t>haisstronica B0F2T8LR9W</t>
        </is>
      </c>
      <c r="G17" s="51" t="inlineStr">
        <is>
          <t>paquete</t>
        </is>
      </c>
      <c r="H17" s="51" t="n">
        <v>50</v>
      </c>
      <c r="I17" s="54" t="n">
        <v>12</v>
      </c>
      <c r="J17" s="35" t="inlineStr">
        <is>
          <t>Tengo</t>
        </is>
      </c>
      <c r="K17" s="36" t="inlineStr">
        <is>
          <t>MW-PKO-005</t>
        </is>
      </c>
      <c r="L17" s="54" t="inlineStr">
        <is>
          <t>Ring NO aislado 5/16 stud, cobre estanado, brazed seam x50 + 50 tubos 3:1 rojo/negro. Ubic. MW-PKO-005.</t>
        </is>
      </c>
    </row>
    <row r="18">
      <c r="A18" s="51" t="n">
        <v>14</v>
      </c>
      <c r="B18" s="15" t="inlineStr">
        <is>
          <t>CNS-FNI-10-001</t>
        </is>
      </c>
      <c r="C18" s="52" t="inlineStr">
        <is>
          <t>Conector electrico</t>
        </is>
      </c>
      <c r="D18" s="52" t="inlineStr">
        <is>
          <t>Fork (horquilla / non-insulated crimp)</t>
        </is>
      </c>
      <c r="E18" s="53" t="inlineStr">
        <is>
          <t>Kit fork #10 stud AWG 12-10 + heat shrink 3:1 (50+50)</t>
        </is>
      </c>
      <c r="F18" s="54" t="inlineStr">
        <is>
          <t>haisstronica B0F2T498YF</t>
        </is>
      </c>
      <c r="G18" s="51" t="inlineStr">
        <is>
          <t>paquete</t>
        </is>
      </c>
      <c r="H18" s="51" t="n">
        <v>50</v>
      </c>
      <c r="I18" s="54" t="n">
        <v>12</v>
      </c>
      <c r="J18" s="35" t="inlineStr">
        <is>
          <t>Tengo</t>
        </is>
      </c>
      <c r="K18" s="36" t="inlineStr">
        <is>
          <t>MW-PKO-005</t>
        </is>
      </c>
      <c r="L18" s="54" t="inlineStr">
        <is>
          <t>Fork NO aislado #10 stud, cobre estanado, brazed seam x50 + 50 tubos 3:1 rojo/negro. Ubic. MW-PKO-005.</t>
        </is>
      </c>
    </row>
    <row r="20">
      <c r="A20" s="12" t="inlineStr">
        <is>
          <t>Como usar:</t>
        </is>
      </c>
    </row>
    <row r="21">
      <c r="A21" s="55" t="inlineStr">
        <is>
          <t>1) Clase = familia (Conector electrico, Cinta / aislante, Fijacion...).</t>
        </is>
      </c>
    </row>
    <row r="22">
      <c r="A22" s="55" t="inlineStr">
        <is>
          <t>2) Tipo terminal solo si Clase=Conector electrico; si no, '—'.</t>
        </is>
      </c>
    </row>
    <row r="23">
      <c r="A23" s="55" t="inlineStr">
        <is>
          <t>3) Ubicacion = codigo del contenedor (MW-PKO-005 = Organizer 19 pulg PACKOUT).</t>
        </is>
      </c>
    </row>
    <row r="24">
      <c r="A24" s="55" t="inlineStr">
        <is>
          <t>4) Por COLOR en filas. Reponer si baja umbral. Clic en Nombre (col E) = link.</t>
        </is>
      </c>
    </row>
  </sheetData>
  <autoFilter ref="A4:L18"/>
  <mergeCells count="3">
    <mergeCell ref="A3:L3"/>
    <mergeCell ref="A2:L2"/>
    <mergeCell ref="A1:L1"/>
  </mergeCells>
  <dataValidations count="5">
    <dataValidation sqref="J5:J18" showDropDown="0" showInputMessage="0" showErrorMessage="0" allowBlank="0" type="list">
      <formula1>"Tengo,Reponer"</formula1>
    </dataValidation>
    <dataValidation sqref="G5:G18" showDropDown="0" showInputMessage="0" showErrorMessage="0" allowBlank="0" type="list">
      <formula1>"kit,paquete,aprox"</formula1>
    </dataValidation>
    <dataValidation sqref="C5:C18" showDropDown="0" showInputMessage="0" showErrorMessage="0" allowBlank="0" type="list">
      <formula1>"Conector electrico,Cinta / aislante,Fijacion,Corte / desgaste,Quimico / sellado,Otro"</formula1>
    </dataValidation>
    <dataValidation sqref="D5:D18" showDropDown="0" showInputMessage="0" showErrorMessage="0" allowBlank="1" type="list">
      <formula1>"Spade (pala / quick disconnect),Butt (empalme / solder seal),Butt (empalme / heat shrink crimp),Butt (empalme / non-insulated crimp),Ring (anillo),Fork (horquilla),Wire nut,—,Otro"</formula1>
    </dataValidation>
    <dataValidation sqref="K5:K18" showDropDown="0" showInputMessage="0" showErrorMessage="0" allowBlank="1" type="list">
      <formula1>"MW-PKO-001,MW-PKO-002,MW-PKO-005,MW-PKO-003,MW-PKO-004,Taller,Vehiculo,Otro"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2026-07-29T13:36:49Z</dcterms:created>
  <dcterms:modified xsi:type="dcterms:W3CDTF">2026-07-29T13:36:49Z</dcterms:modified>
</cp:coreProperties>
</file>