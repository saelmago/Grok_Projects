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ventario" sheetId="2" state="visible" r:id="rId2"/>
    <sheet name="Pendientes" sheetId="3" state="visible" r:id="rId3"/>
  </sheets>
  <definedNames>
    <definedName name="_xlnm._FilterDatabase" localSheetId="1" hidden="1">'Inventario'!$A$4:$I$43</definedName>
    <definedName name="_xlnm._FilterDatabase" localSheetId="2" hidden="1">'Pendientes'!$A$4:$H$9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₡&quot;#,##0"/>
  </numFmts>
  <fonts count="14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color rgb="004B5563"/>
      <sz val="10"/>
    </font>
    <font>
      <name val="Arial"/>
      <b val="1"/>
      <sz val="10"/>
    </font>
    <font>
      <name val="Arial"/>
      <b val="1"/>
      <color rgb="001E3A5F"/>
      <sz val="12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color rgb="006B7280"/>
      <sz val="8"/>
    </font>
    <font>
      <name val="Arial"/>
      <b val="1"/>
      <color rgb="00B45309"/>
      <sz val="11"/>
    </font>
    <font>
      <name val="Arial"/>
      <b val="1"/>
      <sz val="12"/>
    </font>
    <font>
      <name val="Arial"/>
      <b val="1"/>
      <sz val="11"/>
    </font>
    <font>
      <name val="Arial"/>
      <color rgb="006B7280"/>
      <sz val="9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8" borderId="1" pivotButton="0" quotePrefix="0" xfId="0"/>
    <xf numFmtId="0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6" fillId="2" borderId="1" pivotButton="0" quotePrefix="0" xfId="0"/>
    <xf numFmtId="0" fontId="13" fillId="0" borderId="0" pivotButton="0" quotePrefix="0" xfId="0"/>
    <xf numFmtId="0" fontId="7" fillId="0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pivotButton="0" quotePrefix="0" xfId="0"/>
    <xf numFmtId="164" fontId="7" fillId="7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/>
    </xf>
    <xf numFmtId="164" fontId="1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ilwaukeetool.com/" TargetMode="External" Id="rId1" /><Relationship Type="http://schemas.openxmlformats.org/officeDocument/2006/relationships/hyperlink" Target="https://www.kleintools.com/" TargetMode="External" Id="rId2" /><Relationship Type="http://schemas.openxmlformats.org/officeDocument/2006/relationships/hyperlink" Target="https://www.knipex.com/" TargetMode="External" Id="rId3" /><Relationship Type="http://schemas.openxmlformats.org/officeDocument/2006/relationships/hyperlink" Target="https://www.wera.de/en" TargetMode="External" Id="rId4" /><Relationship Type="http://schemas.openxmlformats.org/officeDocument/2006/relationships/hyperlink" Target="https://huepar.com/" TargetMode="External" Id="rId5" /><Relationship Type="http://schemas.openxmlformats.org/officeDocument/2006/relationships/hyperlink" Target="https://www.lexivon.com/" TargetMode="External" Id="rId6" /><Relationship Type="http://schemas.openxmlformats.org/officeDocument/2006/relationships/hyperlink" Target="https://www.skil.com/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ilwaukeetool.com/Products/Power-Tools/Plumbing/Pumps/M12-FUEL-Stick-Transfer-Pump/2579-20" TargetMode="External" Id="rId1" /><Relationship Type="http://schemas.openxmlformats.org/officeDocument/2006/relationships/hyperlink" Target="https://www.milwaukeetool.com/Products/Power-Tools/Plumbing/Pumps/M12-FUEL-Stick-Transfer-Pump/2579-20" TargetMode="External" Id="rId2" /><Relationship Type="http://schemas.openxmlformats.org/officeDocument/2006/relationships/hyperlink" Target="https://www.milwaukeetool.com/Products/Hand-Tools/Plumbing/Wrenches/Faucet-and-Sink-Installer/48-22-7100" TargetMode="External" Id="rId3" /><Relationship Type="http://schemas.openxmlformats.org/officeDocument/2006/relationships/hyperlink" Target="https://www.milwaukeetool.com/Products/Hand-Tools/Plumbing/Wrenches/Faucet-and-Sink-Installer/48-22-7100" TargetMode="External" Id="rId4" /><Relationship Type="http://schemas.openxmlformats.org/officeDocument/2006/relationships/hyperlink" Target="https://www.knipex.com/products/water-pump-pliers-and-pipe-wrenches/water-pump-pliers/knipex-cobra-water-pump-pliers/8702250" TargetMode="External" Id="rId5" /><Relationship Type="http://schemas.openxmlformats.org/officeDocument/2006/relationships/hyperlink" Target="https://www.knipex.com/products/water-pump-pliers-and-pipe-wrenches/water-pump-pliers/knipex-cobra-water-pump-pliers/8702250" TargetMode="External" Id="rId6" /><Relationship Type="http://schemas.openxmlformats.org/officeDocument/2006/relationships/hyperlink" Target="https://www.knipex.com/products/pliers/front-and-side-gripping-pliers/knipex-twingrip-front-and-side-gripping-pliers/8201200" TargetMode="External" Id="rId7" /><Relationship Type="http://schemas.openxmlformats.org/officeDocument/2006/relationships/hyperlink" Target="https://www.knipex.com/products/pliers/front-and-side-gripping-pliers/knipex-twingrip-front-and-side-gripping-pliers/8201200" TargetMode="External" Id="rId8" /><Relationship Type="http://schemas.openxmlformats.org/officeDocument/2006/relationships/hyperlink" Target="https://www.knipex.com/products/pliers-wrenches-and-pipe-wrenches/pliers-wrenches/pliers-wrench-pliers-and-a-wrench-in-a-single-tool/8601250" TargetMode="External" Id="rId9" /><Relationship Type="http://schemas.openxmlformats.org/officeDocument/2006/relationships/hyperlink" Target="https://www.knipex.com/products/pliers-wrenches-and-pipe-wrenches/pliers-wrenches/pliers-wrench-pliers-and-a-wrench-in-a-single-tool/8601250" TargetMode="External" Id="rId10" /><Relationship Type="http://schemas.openxmlformats.org/officeDocument/2006/relationships/hyperlink" Target="https://www.wera.de/en/tools/tool-types/wrench/joker-adjustable-open-end-wrenches" TargetMode="External" Id="rId11" /><Relationship Type="http://schemas.openxmlformats.org/officeDocument/2006/relationships/hyperlink" Target="https://www.wera.de/en/tools/tool-types/wrench/joker-adjustable-open-end-wrenches" TargetMode="External" Id="rId12" /><Relationship Type="http://schemas.openxmlformats.org/officeDocument/2006/relationships/hyperlink" Target="https://www.kleintools.com/catalog/electrical-testers/dual-range-non-contact-voltage-tester-flashlight-12-1000v-ac" TargetMode="External" Id="rId13" /><Relationship Type="http://schemas.openxmlformats.org/officeDocument/2006/relationships/hyperlink" Target="https://www.kleintools.com/catalog/electrical-testers/dual-range-non-contact-voltage-tester-flashlight-12-1000v-ac" TargetMode="External" Id="rId14" /><Relationship Type="http://schemas.openxmlformats.org/officeDocument/2006/relationships/hyperlink" Target="https://www.kleintools.com/catalog/electrical-testers/gfci-receptacle-tester-lcd" TargetMode="External" Id="rId15" /><Relationship Type="http://schemas.openxmlformats.org/officeDocument/2006/relationships/hyperlink" Target="https://www.kleintools.com/catalog/electrical-testers/gfci-receptacle-tester-lcd" TargetMode="External" Id="rId16" /><Relationship Type="http://schemas.openxmlformats.org/officeDocument/2006/relationships/hyperlink" Target="https://www.kleintools.com/catalog/electrical-testers/digital-circuit-breaker-finder-gfci-outlet-tester" TargetMode="External" Id="rId17" /><Relationship Type="http://schemas.openxmlformats.org/officeDocument/2006/relationships/hyperlink" Target="https://www.kleintools.com/catalog/electrical-testers/digital-circuit-breaker-finder-gfci-outlet-tester" TargetMode="External" Id="rId18" /><Relationship Type="http://schemas.openxmlformats.org/officeDocument/2006/relationships/hyperlink" Target="https://www.kleintools.com/catalog/tone-probe/tone-probe-test-and-trace-kit" TargetMode="External" Id="rId19" /><Relationship Type="http://schemas.openxmlformats.org/officeDocument/2006/relationships/hyperlink" Target="https://www.kleintools.com/catalog/tone-probe/tone-probe-test-and-trace-kit" TargetMode="External" Id="rId20" /><Relationship Type="http://schemas.openxmlformats.org/officeDocument/2006/relationships/hyperlink" Target="https://www.kleintools.com/catalog/electricians-screwdrivers/6-1-insulated-auto-lock-screwdriver" TargetMode="External" Id="rId21" /><Relationship Type="http://schemas.openxmlformats.org/officeDocument/2006/relationships/hyperlink" Target="https://www.kleintools.com/catalog/electricians-screwdrivers/6-1-insulated-auto-lock-screwdriver" TargetMode="External" Id="rId22" /><Relationship Type="http://schemas.openxmlformats.org/officeDocument/2006/relationships/hyperlink" Target="https://www.kleintools.com/catalog/electricians-pliers/insulated-pliers-side-cutters-9-inch" TargetMode="External" Id="rId23" /><Relationship Type="http://schemas.openxmlformats.org/officeDocument/2006/relationships/hyperlink" Target="https://www.kleintools.com/catalog/electricians-pliers/insulated-pliers-side-cutters-9-inch" TargetMode="External" Id="rId24" /><Relationship Type="http://schemas.openxmlformats.org/officeDocument/2006/relationships/hyperlink" Target="https://www.kleintools.com/catalog/electricians-pliers/diagonal-cutting-pliers-insulated-high-leverage-8-inch" TargetMode="External" Id="rId25" /><Relationship Type="http://schemas.openxmlformats.org/officeDocument/2006/relationships/hyperlink" Target="https://www.kleintools.com/catalog/electricians-pliers/diagonal-cutting-pliers-insulated-high-leverage-8-inch" TargetMode="External" Id="rId26" /><Relationship Type="http://schemas.openxmlformats.org/officeDocument/2006/relationships/hyperlink" Target="https://www.kleintools.com/catalog/insulated-pliers/pliers-long-nose-side-cutters-insulated-8-inch" TargetMode="External" Id="rId27" /><Relationship Type="http://schemas.openxmlformats.org/officeDocument/2006/relationships/hyperlink" Target="https://www.kleintools.com/catalog/insulated-pliers/pliers-long-nose-side-cutters-insulated-8-inch" TargetMode="External" Id="rId28" /><Relationship Type="http://schemas.openxmlformats.org/officeDocument/2006/relationships/hyperlink" Target="https://www.kleintools.com/catalog/electricians-cutting-and-crimping-tools/insulated-klein-kurve-wire-stripper-and-cutter" TargetMode="External" Id="rId29" /><Relationship Type="http://schemas.openxmlformats.org/officeDocument/2006/relationships/hyperlink" Target="https://www.kleintools.com/catalog/electricians-cutting-and-crimping-tools/insulated-klein-kurve-wire-stripper-and-cutter" TargetMode="External" Id="rId30" /><Relationship Type="http://schemas.openxmlformats.org/officeDocument/2006/relationships/hyperlink" Target="https://www.kleintools.com/catalog/electricians-tool-sets/8-1-insulated-interchangeable-screwdriver-set" TargetMode="External" Id="rId31" /><Relationship Type="http://schemas.openxmlformats.org/officeDocument/2006/relationships/hyperlink" Target="https://www.kleintools.com/catalog/electricians-tool-sets/8-1-insulated-interchangeable-screwdriver-set" TargetMode="External" Id="rId32" /><Relationship Type="http://schemas.openxmlformats.org/officeDocument/2006/relationships/hyperlink" Target="https://www.kleintools.com/catalog/electricians-cutting-and-crimping-tools/crimping-and-cutting-tool-connectors-insulated" TargetMode="External" Id="rId33" /><Relationship Type="http://schemas.openxmlformats.org/officeDocument/2006/relationships/hyperlink" Target="https://www.kleintools.com/catalog/electricians-cutting-and-crimping-tools/crimping-and-cutting-tool-connectors-insulated" TargetMode="External" Id="rId34" /><Relationship Type="http://schemas.openxmlformats.org/officeDocument/2006/relationships/hyperlink" Target="https://www.kleintools.com/catalog/multi-bit-screwdrivers/adjustable-screwdriver-2-phillips-14-inch-slotted" TargetMode="External" Id="rId35" /><Relationship Type="http://schemas.openxmlformats.org/officeDocument/2006/relationships/hyperlink" Target="https://www.kleintools.com/catalog/multi-bit-screwdrivers/adjustable-screwdriver-2-phillips-14-inch-slotted" TargetMode="External" Id="rId36" /><Relationship Type="http://schemas.openxmlformats.org/officeDocument/2006/relationships/hyperlink" Target="https://www.kleintools.com/catalog/impact-socket-sets/grab-and-go-impact-socket-set-metric-10-piece" TargetMode="External" Id="rId37" /><Relationship Type="http://schemas.openxmlformats.org/officeDocument/2006/relationships/hyperlink" Target="https://www.kleintools.com/catalog/impact-socket-sets/grab-and-go-impact-socket-set-metric-10-piece" TargetMode="External" Id="rId38" /><Relationship Type="http://schemas.openxmlformats.org/officeDocument/2006/relationships/hyperlink" Target="https://www.milwaukeetool.com/Products/Power-Tools/Drilling/Installation-Drill-Drivers/M12-FUEL-Installation-Drill-Driver/2505-20" TargetMode="External" Id="rId39" /><Relationship Type="http://schemas.openxmlformats.org/officeDocument/2006/relationships/hyperlink" Target="https://www.milwaukeetool.com/Products/Power-Tools/Drilling/Installation-Drill-Drivers/M12-FUEL-Installation-Drill-Driver/2505-20" TargetMode="External" Id="rId40" /><Relationship Type="http://schemas.openxmlformats.org/officeDocument/2006/relationships/hyperlink" Target="https://www.milwaukeetool.com/Search?q=2563-20" TargetMode="External" Id="rId41" /><Relationship Type="http://schemas.openxmlformats.org/officeDocument/2006/relationships/hyperlink" Target="https://www.milwaukeetool.com/Search?q=2563-20" TargetMode="External" Id="rId42" /><Relationship Type="http://schemas.openxmlformats.org/officeDocument/2006/relationships/hyperlink" Target="https://www.milwaukeetool.com/Search?q=3404-20" TargetMode="External" Id="rId43" /><Relationship Type="http://schemas.openxmlformats.org/officeDocument/2006/relationships/hyperlink" Target="https://www.milwaukeetool.com/Search?q=3404-20" TargetMode="External" Id="rId44" /><Relationship Type="http://schemas.openxmlformats.org/officeDocument/2006/relationships/hyperlink" Target="https://www.milwaukeetool.com/Search?q=3453-20" TargetMode="External" Id="rId45" /><Relationship Type="http://schemas.openxmlformats.org/officeDocument/2006/relationships/hyperlink" Target="https://www.milwaukeetool.com/Search?q=3453-20" TargetMode="External" Id="rId46" /><Relationship Type="http://schemas.openxmlformats.org/officeDocument/2006/relationships/hyperlink" Target="https://www.milwaukeetool.com/Search?q=2526-20" TargetMode="External" Id="rId47" /><Relationship Type="http://schemas.openxmlformats.org/officeDocument/2006/relationships/hyperlink" Target="https://www.milwaukeetool.com/Search?q=2526-20" TargetMode="External" Id="rId48" /><Relationship Type="http://schemas.openxmlformats.org/officeDocument/2006/relationships/hyperlink" Target="https://www.milwaukeetool.com/Search?q=2367-20" TargetMode="External" Id="rId49" /><Relationship Type="http://schemas.openxmlformats.org/officeDocument/2006/relationships/hyperlink" Target="https://www.milwaukeetool.com/Search?q=2367-20" TargetMode="External" Id="rId50" /><Relationship Type="http://schemas.openxmlformats.org/officeDocument/2006/relationships/hyperlink" Target="https://www.milwaukeetool.com/Search?q=2522-20" TargetMode="External" Id="rId51" /><Relationship Type="http://schemas.openxmlformats.org/officeDocument/2006/relationships/hyperlink" Target="https://www.milwaukeetool.com/Search?q=2522-20" TargetMode="External" Id="rId52" /><Relationship Type="http://schemas.openxmlformats.org/officeDocument/2006/relationships/hyperlink" Target="https://www.milwaukeetool.com/Search?q=2719-20" TargetMode="External" Id="rId53" /><Relationship Type="http://schemas.openxmlformats.org/officeDocument/2006/relationships/hyperlink" Target="https://www.milwaukeetool.com/Search?q=2719-20" TargetMode="External" Id="rId54" /><Relationship Type="http://schemas.openxmlformats.org/officeDocument/2006/relationships/hyperlink" Target="https://www.milwaukeetool.com/Products/Power-Tools/Batteries-Chargers/Batteries" TargetMode="External" Id="rId55" /><Relationship Type="http://schemas.openxmlformats.org/officeDocument/2006/relationships/hyperlink" Target="https://www.milwaukeetool.com/Products/Power-Tools/Batteries-Chargers/Batteries" TargetMode="External" Id="rId56" /><Relationship Type="http://schemas.openxmlformats.org/officeDocument/2006/relationships/hyperlink" Target="https://www.milwaukeetool.com/Products/Power-Tools/Batteries-Chargers/Chargers" TargetMode="External" Id="rId57" /><Relationship Type="http://schemas.openxmlformats.org/officeDocument/2006/relationships/hyperlink" Target="https://www.milwaukeetool.com/Products/Power-Tools/Batteries-Chargers/Chargers" TargetMode="External" Id="rId58" /><Relationship Type="http://schemas.openxmlformats.org/officeDocument/2006/relationships/hyperlink" Target="https://www.milwaukeetool.com/Search?q=48-22-8301" TargetMode="External" Id="rId59" /><Relationship Type="http://schemas.openxmlformats.org/officeDocument/2006/relationships/hyperlink" Target="https://www.milwaukeetool.com/Search?q=48-22-8301" TargetMode="External" Id="rId60" /><Relationship Type="http://schemas.openxmlformats.org/officeDocument/2006/relationships/hyperlink" Target="https://www.milwaukeetool.com/Search?q=48-22-8435" TargetMode="External" Id="rId61" /><Relationship Type="http://schemas.openxmlformats.org/officeDocument/2006/relationships/hyperlink" Target="https://www.milwaukeetool.com/Search?q=48-22-8435" TargetMode="External" Id="rId62" /><Relationship Type="http://schemas.openxmlformats.org/officeDocument/2006/relationships/hyperlink" Target="https://www.skil.com/search?q=AH6552A" TargetMode="External" Id="rId63" /><Relationship Type="http://schemas.openxmlformats.org/officeDocument/2006/relationships/hyperlink" Target="https://www.skil.com/search?q=AH6552A" TargetMode="External" Id="rId64" /><Relationship Type="http://schemas.openxmlformats.org/officeDocument/2006/relationships/hyperlink" Target="https://www.amazon.com/s?k=Antive+E-S01+electric+scissors" TargetMode="External" Id="rId65" /><Relationship Type="http://schemas.openxmlformats.org/officeDocument/2006/relationships/hyperlink" Target="https://www.amazon.com/s?k=Antive+E-S01+electric+scissors" TargetMode="External" Id="rId66" /><Relationship Type="http://schemas.openxmlformats.org/officeDocument/2006/relationships/hyperlink" Target="https://huepar.com/products/huepar-box1g-laser-level" TargetMode="External" Id="rId67" /><Relationship Type="http://schemas.openxmlformats.org/officeDocument/2006/relationships/hyperlink" Target="https://huepar.com/products/huepar-box1g-laser-level" TargetMode="External" Id="rId68" /><Relationship Type="http://schemas.openxmlformats.org/officeDocument/2006/relationships/hyperlink" Target="https://www.amazon.com/s?k=Franklin+Sensors+iA12" TargetMode="External" Id="rId69" /><Relationship Type="http://schemas.openxmlformats.org/officeDocument/2006/relationships/hyperlink" Target="https://www.amazon.com/s?k=Franklin+Sensors+iA12" TargetMode="External" Id="rId70" /><Relationship Type="http://schemas.openxmlformats.org/officeDocument/2006/relationships/hyperlink" Target="https://www.lexivon.com/products/lx-770" TargetMode="External" Id="rId71" /><Relationship Type="http://schemas.openxmlformats.org/officeDocument/2006/relationships/hyperlink" Target="https://www.lexivon.com/products/lx-770" TargetMode="External" Id="rId72" /><Relationship Type="http://schemas.openxmlformats.org/officeDocument/2006/relationships/hyperlink" Target="https://www.milwaukeetool.com/Search?q=48-73-2013" TargetMode="External" Id="rId73" /><Relationship Type="http://schemas.openxmlformats.org/officeDocument/2006/relationships/hyperlink" Target="https://www.milwaukeetool.com/Search?q=48-73-2013" TargetMode="External" Id="rId74" /><Relationship Type="http://schemas.openxmlformats.org/officeDocument/2006/relationships/hyperlink" Target="https://www.milwaukeetool.com/Search?q=PACKOUT+Cut+Level+Smartswipe+gloves" TargetMode="External" Id="rId75" /><Relationship Type="http://schemas.openxmlformats.org/officeDocument/2006/relationships/hyperlink" Target="https://www.milwaukeetool.com/Search?q=PACKOUT+Cut+Level+Smartswipe+gloves" TargetMode="External" Id="rId76" /><Relationship Type="http://schemas.openxmlformats.org/officeDocument/2006/relationships/hyperlink" Target="https://www.milwaukeetool.com/Search?q=49-10-9001" TargetMode="External" Id="rId77" /><Relationship Type="http://schemas.openxmlformats.org/officeDocument/2006/relationships/hyperlink" Target="https://www.milwaukeetool.com/Search?q=49-10-9001" TargetMode="External" Id="rId7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kleintools.com/catalog/socket-wrenches/knect-38-inch-drive-impact-rated-pass-through-socket-set-15-piece" TargetMode="External" Id="rId1" /><Relationship Type="http://schemas.openxmlformats.org/officeDocument/2006/relationships/hyperlink" Target="https://www.kleintools.com/catalog/socket-wrenches/knect-38-inch-drive-impact-rated-pass-through-socket-set-15-piece" TargetMode="External" Id="rId2" /><Relationship Type="http://schemas.openxmlformats.org/officeDocument/2006/relationships/hyperlink" Target="https://www.kleintools.com/catalog/clamp-meters/600a-acdc-auto-ranging-trms-clamp-meter-worklight" TargetMode="External" Id="rId3" /><Relationship Type="http://schemas.openxmlformats.org/officeDocument/2006/relationships/hyperlink" Target="https://www.kleintools.com/catalog/clamp-meters/600a-acdc-auto-ranging-trms-clamp-meter-worklight" TargetMode="External" Id="rId4" /><Relationship Type="http://schemas.openxmlformats.org/officeDocument/2006/relationships/hyperlink" Target="https://www.milwaukeetool.com/Search?q=48-22-8420" TargetMode="External" Id="rId5" /><Relationship Type="http://schemas.openxmlformats.org/officeDocument/2006/relationships/hyperlink" Target="https://www.milwaukeetool.com/Search?q=48-22-8420" TargetMode="External" Id="rId6" /><Relationship Type="http://schemas.openxmlformats.org/officeDocument/2006/relationships/hyperlink" Target="https://www.milwaukeetool.com/Search?q=48-22-8415" TargetMode="External" Id="rId7" /><Relationship Type="http://schemas.openxmlformats.org/officeDocument/2006/relationships/hyperlink" Target="https://www.milwaukeetool.com/Search?q=48-22-8415" TargetMode="External" Id="rId8" /><Relationship Type="http://schemas.openxmlformats.org/officeDocument/2006/relationships/hyperlink" Target="https://www.milwaukeetool.com/Search?q=2572B-21" TargetMode="External" Id="rId9" /><Relationship Type="http://schemas.openxmlformats.org/officeDocument/2006/relationships/hyperlink" Target="https://www.milwaukeetool.com/Search?q=2572B-21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6" customWidth="1" min="1" max="1"/>
    <col width="48" customWidth="1" min="2" max="2"/>
    <col width="3" customWidth="1" min="3" max="3"/>
    <col width="55" customWidth="1" min="4" max="4"/>
  </cols>
  <sheetData>
    <row r="1">
      <c r="A1" s="1" t="inlineStr">
        <is>
          <t>Arsenal Multioficio 2026 - Resumen</t>
        </is>
      </c>
    </row>
    <row r="2">
      <c r="A2" s="2" t="inlineStr">
        <is>
          <t>Saul Marin Gonzalez | Respaldo local | Enlaces a sitios de marca</t>
        </is>
      </c>
    </row>
    <row r="4">
      <c r="A4" s="3" t="inlineStr">
        <is>
          <t>Metricas del inventario</t>
        </is>
      </c>
      <c r="D4" s="3" t="inlineStr">
        <is>
          <t>Ecosistema</t>
        </is>
      </c>
    </row>
    <row r="5">
      <c r="A5" s="4" t="inlineStr">
        <is>
          <t>Total de items en inventario</t>
        </is>
      </c>
      <c r="B5" s="5">
        <f>COUNTA(Inventario!E5:E43)</f>
        <v/>
      </c>
      <c r="D5" s="4" t="inlineStr">
        <is>
          <t>Base principal: Milwaukee M12 + M18</t>
        </is>
      </c>
    </row>
    <row r="6">
      <c r="A6" s="4" t="inlineStr">
        <is>
          <t>Estado: Ya tengo</t>
        </is>
      </c>
      <c r="B6" s="5">
        <f>COUNTIF(Inventario!G5:G43,"Ya tengo")</f>
        <v/>
      </c>
      <c r="D6" s="4" t="inlineStr">
        <is>
          <t>Prueba / electrico: Klein Tools</t>
        </is>
      </c>
    </row>
    <row r="7">
      <c r="A7" s="4" t="inlineStr">
        <is>
          <t>Estado: Comprado</t>
        </is>
      </c>
      <c r="B7" s="5">
        <f>COUNTIF(Inventario!G5:G43,"Comprado")</f>
        <v/>
      </c>
      <c r="D7" s="4" t="inlineStr">
        <is>
          <t>Alicates y llaves: Knipex + Wera Joker</t>
        </is>
      </c>
    </row>
    <row r="8">
      <c r="A8" s="4" t="inlineStr">
        <is>
          <t>Pendientes de compra</t>
        </is>
      </c>
      <c r="B8" s="5">
        <f>COUNTA(Pendientes!C5:C9)</f>
        <v/>
      </c>
      <c r="D8" s="4" t="inlineStr">
        <is>
          <t>Organizacion: PACKOUT</t>
        </is>
      </c>
    </row>
    <row r="9">
      <c r="A9" s="4" t="inlineStr">
        <is>
          <t>Costo estimado pendientes (CRC)</t>
        </is>
      </c>
      <c r="B9" s="6">
        <f>SUM(Pendientes!E5:E9)</f>
        <v/>
      </c>
      <c r="D9" s="4" t="inlineStr">
        <is>
          <t>Enlaces: columna H = clic; I = URL completa</t>
        </is>
      </c>
    </row>
    <row r="11">
      <c r="A11" s="3" t="inlineStr">
        <is>
          <t>Sitios oficiales de marca (inicio)</t>
        </is>
      </c>
      <c r="D11" s="7" t="inlineStr">
        <is>
          <t>Notas sobre enlaces</t>
        </is>
      </c>
    </row>
    <row r="12">
      <c r="A12" s="8" t="inlineStr">
        <is>
          <t>Marca</t>
        </is>
      </c>
      <c r="B12" s="8" t="inlineStr">
        <is>
          <t>Sitio web</t>
        </is>
      </c>
      <c r="D12" s="9" t="inlineStr">
        <is>
          <t>Prioridad: ficha en sitio de la marca.</t>
        </is>
      </c>
    </row>
    <row r="13">
      <c r="A13" s="10" t="inlineStr">
        <is>
          <t>Milwaukee</t>
        </is>
      </c>
      <c r="B13" s="11" t="inlineStr">
        <is>
          <t>https://www.milwaukeetool.com/</t>
        </is>
      </c>
      <c r="D13" s="9" t="inlineStr">
        <is>
          <t>Si no hay ficha estable, se usa busqueda del catalogo oficial.</t>
        </is>
      </c>
    </row>
    <row r="14">
      <c r="A14" s="10" t="inlineStr">
        <is>
          <t>Klein Tools</t>
        </is>
      </c>
      <c r="B14" s="11" t="inlineStr">
        <is>
          <t>https://www.kleintools.com/</t>
        </is>
      </c>
      <c r="D14" s="9" t="inlineStr">
        <is>
          <t>Antive/Franklin: poco catalogo web; enlace de busqueda de producto.</t>
        </is>
      </c>
    </row>
    <row r="15">
      <c r="A15" s="10" t="inlineStr">
        <is>
          <t>Knipex</t>
        </is>
      </c>
      <c r="B15" s="11" t="inlineStr">
        <is>
          <t>https://www.knipex.com/</t>
        </is>
      </c>
      <c r="D15" s="9" t="inlineStr">
        <is>
          <t>Guantes: SKU 48-73-2013 era el de lentes; link generico PACKOUT gloves.</t>
        </is>
      </c>
    </row>
    <row r="16">
      <c r="A16" s="10" t="inlineStr">
        <is>
          <t>Wera</t>
        </is>
      </c>
      <c r="B16" s="11" t="inlineStr">
        <is>
          <t>https://www.wera.de/en</t>
        </is>
      </c>
      <c r="D16" s="9" t="inlineStr">
        <is>
          <t>Verifica el modelo exacto en el sitio antes de comprar.</t>
        </is>
      </c>
    </row>
    <row r="17">
      <c r="A17" s="10" t="inlineStr">
        <is>
          <t>Huepar</t>
        </is>
      </c>
      <c r="B17" s="11" t="inlineStr">
        <is>
          <t>https://huepar.com/</t>
        </is>
      </c>
    </row>
    <row r="18">
      <c r="A18" s="10" t="inlineStr">
        <is>
          <t>LEXIVON</t>
        </is>
      </c>
      <c r="B18" s="11" t="inlineStr">
        <is>
          <t>https://www.lexivon.com/</t>
        </is>
      </c>
    </row>
    <row r="19">
      <c r="A19" s="10" t="inlineStr">
        <is>
          <t>Skil</t>
        </is>
      </c>
      <c r="B19" s="11" t="inlineStr">
        <is>
          <t>https://www.skil.com/</t>
        </is>
      </c>
    </row>
    <row r="21">
      <c r="A21" s="3" t="inlineStr">
        <is>
          <t>Items por marca</t>
        </is>
      </c>
    </row>
    <row r="22">
      <c r="A22" s="8" t="inlineStr">
        <is>
          <t>Marca</t>
        </is>
      </c>
      <c r="B22" s="8" t="inlineStr">
        <is>
          <t>Cantidad</t>
        </is>
      </c>
    </row>
    <row r="23">
      <c r="A23" s="10" t="inlineStr">
        <is>
          <t>Antive</t>
        </is>
      </c>
      <c r="B23" s="12">
        <f>COUNTIF(Inventario!B5:B43,A23)</f>
        <v/>
      </c>
    </row>
    <row r="24">
      <c r="A24" s="10" t="inlineStr">
        <is>
          <t>Franklin</t>
        </is>
      </c>
      <c r="B24" s="12">
        <f>COUNTIF(Inventario!B5:B43,A24)</f>
        <v/>
      </c>
    </row>
    <row r="25">
      <c r="A25" s="10" t="inlineStr">
        <is>
          <t>Huepar</t>
        </is>
      </c>
      <c r="B25" s="12">
        <f>COUNTIF(Inventario!B5:B43,A25)</f>
        <v/>
      </c>
    </row>
    <row r="26">
      <c r="A26" s="10" t="inlineStr">
        <is>
          <t>Klein</t>
        </is>
      </c>
      <c r="B26" s="12">
        <f>COUNTIF(Inventario!B5:B43,A26)</f>
        <v/>
      </c>
    </row>
    <row r="27">
      <c r="A27" s="10" t="inlineStr">
        <is>
          <t>Knipex</t>
        </is>
      </c>
      <c r="B27" s="12">
        <f>COUNTIF(Inventario!B5:B43,A27)</f>
        <v/>
      </c>
    </row>
    <row r="28">
      <c r="A28" s="10" t="inlineStr">
        <is>
          <t>LEXIVON</t>
        </is>
      </c>
      <c r="B28" s="12">
        <f>COUNTIF(Inventario!B5:B43,A28)</f>
        <v/>
      </c>
    </row>
    <row r="29">
      <c r="A29" s="10" t="inlineStr">
        <is>
          <t>Milwaukee</t>
        </is>
      </c>
      <c r="B29" s="12">
        <f>COUNTIF(Inventario!B5:B43,A29)</f>
        <v/>
      </c>
    </row>
    <row r="30">
      <c r="A30" s="10" t="inlineStr">
        <is>
          <t>Skil</t>
        </is>
      </c>
      <c r="B30" s="12">
        <f>COUNTIF(Inventario!B5:B43,A30)</f>
        <v/>
      </c>
    </row>
    <row r="31">
      <c r="A31" s="10" t="inlineStr">
        <is>
          <t>Wera</t>
        </is>
      </c>
      <c r="B31" s="12">
        <f>COUNTIF(Inventario!B5:B43,A31)</f>
        <v/>
      </c>
    </row>
  </sheetData>
  <mergeCells count="1">
    <mergeCell ref="A1:D1"/>
  </mergeCells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2" customWidth="1" min="5" max="5"/>
    <col width="14" customWidth="1" min="6" max="6"/>
    <col width="11" customWidth="1" min="7" max="7"/>
    <col width="16" customWidth="1" min="8" max="8"/>
    <col width="55" customWidth="1" min="9" max="9"/>
  </cols>
  <sheetData>
    <row r="1" ht="24" customHeight="1">
      <c r="A1" s="1" t="inlineStr">
        <is>
          <t>Inventario - Arsenal Multioficio 2026</t>
        </is>
      </c>
    </row>
    <row r="2">
      <c r="A2" s="2" t="inlineStr">
        <is>
          <t>Propietario: Saul Marin Gonzalez</t>
        </is>
      </c>
      <c r="C2" s="2" t="inlineStr">
        <is>
          <t>Ultima actualizacion: 28/07/2026</t>
        </is>
      </c>
      <c r="E2" s="13" t="inlineStr">
        <is>
          <t>Total items:</t>
        </is>
      </c>
      <c r="F2" s="3">
        <f>COUNTA(E5:E43)</f>
        <v/>
      </c>
    </row>
    <row r="3">
      <c r="A3" s="14" t="inlineStr">
        <is>
          <t>Enlaces Klein: fichas oficiales del catalogo. NCVT-39 apunta a NCVT3P (modelo actual). VDV500-705P apunta al kit VDV500-705.</t>
        </is>
      </c>
    </row>
    <row r="4" ht="22" customHeight="1">
      <c r="A4" s="15" t="inlineStr">
        <is>
          <t>#</t>
        </is>
      </c>
      <c r="B4" s="15" t="inlineStr">
        <is>
          <t>Marca</t>
        </is>
      </c>
      <c r="C4" s="15" t="inlineStr">
        <is>
          <t>Tipo</t>
        </is>
      </c>
      <c r="D4" s="15" t="inlineStr">
        <is>
          <t>Categoria</t>
        </is>
      </c>
      <c r="E4" s="15" t="inlineStr">
        <is>
          <t>Herramienta</t>
        </is>
      </c>
      <c r="F4" s="15" t="inlineStr">
        <is>
          <t>Modelo</t>
        </is>
      </c>
      <c r="G4" s="15" t="inlineStr">
        <is>
          <t>Estado</t>
        </is>
      </c>
      <c r="H4" s="15" t="inlineStr">
        <is>
          <t>Enlace marca</t>
        </is>
      </c>
      <c r="I4" s="15" t="inlineStr">
        <is>
          <t>URL</t>
        </is>
      </c>
    </row>
    <row r="5">
      <c r="A5" s="12" t="n">
        <v>1</v>
      </c>
      <c r="B5" s="12" t="inlineStr">
        <is>
          <t>Milwaukee</t>
        </is>
      </c>
      <c r="C5" s="12" t="inlineStr">
        <is>
          <t>Herramienta</t>
        </is>
      </c>
      <c r="D5" s="16" t="inlineStr">
        <is>
          <t>Fontaneria</t>
        </is>
      </c>
      <c r="E5" s="16" t="inlineStr">
        <is>
          <t>M12 Stick Transfer Pump</t>
        </is>
      </c>
      <c r="F5" s="12" t="inlineStr">
        <is>
          <t>2579-20</t>
        </is>
      </c>
      <c r="G5" s="17" t="inlineStr">
        <is>
          <t>Comprado</t>
        </is>
      </c>
      <c r="H5" s="18" t="inlineStr">
        <is>
          <t>Ver en Milwaukee</t>
        </is>
      </c>
      <c r="I5" s="19" t="inlineStr">
        <is>
          <t>https://www.milwaukeetool.com/Products/Power-Tools/Plumbing/Pumps/M12-FUEL-Stick-Transfer-Pump/2579-20</t>
        </is>
      </c>
    </row>
    <row r="6">
      <c r="A6" s="20" t="n">
        <v>2</v>
      </c>
      <c r="B6" s="20" t="inlineStr">
        <is>
          <t>Milwaukee</t>
        </is>
      </c>
      <c r="C6" s="20" t="inlineStr">
        <is>
          <t>Herramienta</t>
        </is>
      </c>
      <c r="D6" s="21" t="inlineStr">
        <is>
          <t>Fontaneria</t>
        </is>
      </c>
      <c r="E6" s="21" t="inlineStr">
        <is>
          <t>Llave Faucet Swap-Out</t>
        </is>
      </c>
      <c r="F6" s="20" t="inlineStr">
        <is>
          <t>48-22-7100</t>
        </is>
      </c>
      <c r="G6" s="22" t="inlineStr">
        <is>
          <t>Ya tengo</t>
        </is>
      </c>
      <c r="H6" s="18" t="inlineStr">
        <is>
          <t>Ver en Milwaukee</t>
        </is>
      </c>
      <c r="I6" s="19" t="inlineStr">
        <is>
          <t>https://www.milwaukeetool.com/Products/Hand-Tools/Plumbing/Wrenches/Faucet-and-Sink-Installer/48-22-7100</t>
        </is>
      </c>
    </row>
    <row r="7">
      <c r="A7" s="12" t="n">
        <v>3</v>
      </c>
      <c r="B7" s="12" t="inlineStr">
        <is>
          <t>Knipex</t>
        </is>
      </c>
      <c r="C7" s="12" t="inlineStr">
        <is>
          <t>Herramienta</t>
        </is>
      </c>
      <c r="D7" s="16" t="inlineStr">
        <is>
          <t>Fontaneria</t>
        </is>
      </c>
      <c r="E7" s="16" t="inlineStr">
        <is>
          <t>Cobra Water Pump Pliers 10"</t>
        </is>
      </c>
      <c r="F7" s="12" t="inlineStr">
        <is>
          <t>87 02 250</t>
        </is>
      </c>
      <c r="G7" s="22" t="inlineStr">
        <is>
          <t>Ya tengo</t>
        </is>
      </c>
      <c r="H7" s="18" t="inlineStr">
        <is>
          <t>Ver en Knipex</t>
        </is>
      </c>
      <c r="I7" s="19" t="inlineStr">
        <is>
          <t>https://www.knipex.com/products/water-pump-pliers-and-pipe-wrenches/water-pump-pliers/knipex-cobra-water-pump-pliers/8702250</t>
        </is>
      </c>
    </row>
    <row r="8">
      <c r="A8" s="20" t="n">
        <v>4</v>
      </c>
      <c r="B8" s="20" t="inlineStr">
        <is>
          <t>Knipex</t>
        </is>
      </c>
      <c r="C8" s="20" t="inlineStr">
        <is>
          <t>Herramienta</t>
        </is>
      </c>
      <c r="D8" s="21" t="inlineStr">
        <is>
          <t>Fontaneria</t>
        </is>
      </c>
      <c r="E8" s="21" t="inlineStr">
        <is>
          <t>TwinGrip Pliers 8"</t>
        </is>
      </c>
      <c r="F8" s="20" t="inlineStr">
        <is>
          <t>83 01 200</t>
        </is>
      </c>
      <c r="G8" s="22" t="inlineStr">
        <is>
          <t>Ya tengo</t>
        </is>
      </c>
      <c r="H8" s="18" t="inlineStr">
        <is>
          <t>Ver en Knipex</t>
        </is>
      </c>
      <c r="I8" s="19" t="inlineStr">
        <is>
          <t>https://www.knipex.com/products/pliers/front-and-side-gripping-pliers/knipex-twingrip-front-and-side-gripping-pliers/8201200</t>
        </is>
      </c>
    </row>
    <row r="9">
      <c r="A9" s="12" t="n">
        <v>5</v>
      </c>
      <c r="B9" s="12" t="inlineStr">
        <is>
          <t>Knipex</t>
        </is>
      </c>
      <c r="C9" s="12" t="inlineStr">
        <is>
          <t>Herramienta</t>
        </is>
      </c>
      <c r="D9" s="16" t="inlineStr">
        <is>
          <t>Fontaneria</t>
        </is>
      </c>
      <c r="E9" s="16" t="inlineStr">
        <is>
          <t>Pliers Wrench 10"</t>
        </is>
      </c>
      <c r="F9" s="12" t="inlineStr">
        <is>
          <t>86 01 250</t>
        </is>
      </c>
      <c r="G9" s="17" t="inlineStr">
        <is>
          <t>Comprado</t>
        </is>
      </c>
      <c r="H9" s="18" t="inlineStr">
        <is>
          <t>Ver en Knipex</t>
        </is>
      </c>
      <c r="I9" s="19" t="inlineStr">
        <is>
          <t>https://www.knipex.com/products/pliers-wrenches-and-pipe-wrenches/pliers-wrenches/pliers-wrench-pliers-and-a-wrench-in-a-single-tool/8601250</t>
        </is>
      </c>
    </row>
    <row r="10">
      <c r="A10" s="20" t="n">
        <v>6</v>
      </c>
      <c r="B10" s="20" t="inlineStr">
        <is>
          <t>Wera</t>
        </is>
      </c>
      <c r="C10" s="20" t="inlineStr">
        <is>
          <t>Herramienta</t>
        </is>
      </c>
      <c r="D10" s="21" t="inlineStr">
        <is>
          <t>Fontaneria</t>
        </is>
      </c>
      <c r="E10" s="21" t="inlineStr">
        <is>
          <t>Joker Self-Setting Wrench M/L/XL</t>
        </is>
      </c>
      <c r="F10" s="20" t="inlineStr">
        <is>
          <t>6004 serie</t>
        </is>
      </c>
      <c r="G10" s="22" t="inlineStr">
        <is>
          <t>Ya tengo</t>
        </is>
      </c>
      <c r="H10" s="18" t="inlineStr">
        <is>
          <t>Ver en Wera</t>
        </is>
      </c>
      <c r="I10" s="19" t="inlineStr">
        <is>
          <t>https://www.wera.de/en/tools/tool-types/wrench/joker-adjustable-open-end-wrenches</t>
        </is>
      </c>
    </row>
    <row r="11">
      <c r="A11" s="12" t="n">
        <v>7</v>
      </c>
      <c r="B11" s="12" t="inlineStr">
        <is>
          <t>Klein</t>
        </is>
      </c>
      <c r="C11" s="12" t="inlineStr">
        <is>
          <t>Herramienta</t>
        </is>
      </c>
      <c r="D11" s="16" t="inlineStr">
        <is>
          <t>Electricidad</t>
        </is>
      </c>
      <c r="E11" s="16" t="inlineStr">
        <is>
          <t>Non-Contact Voltage Tester</t>
        </is>
      </c>
      <c r="F11" s="12" t="inlineStr">
        <is>
          <t>NCVT-39</t>
        </is>
      </c>
      <c r="G11" s="22" t="inlineStr">
        <is>
          <t>Ya tengo</t>
        </is>
      </c>
      <c r="H11" s="18" t="inlineStr">
        <is>
          <t>Ver ficha Klein</t>
        </is>
      </c>
      <c r="I11" s="19" t="inlineStr">
        <is>
          <t>https://www.kleintools.com/catalog/electrical-testers/dual-range-non-contact-voltage-tester-flashlight-12-1000v-ac</t>
        </is>
      </c>
    </row>
    <row r="12">
      <c r="A12" s="20" t="n">
        <v>8</v>
      </c>
      <c r="B12" s="20" t="inlineStr">
        <is>
          <t>Klein</t>
        </is>
      </c>
      <c r="C12" s="20" t="inlineStr">
        <is>
          <t>Herramienta</t>
        </is>
      </c>
      <c r="D12" s="21" t="inlineStr">
        <is>
          <t>Electricidad</t>
        </is>
      </c>
      <c r="E12" s="21" t="inlineStr">
        <is>
          <t>GFCI Receptacle Tester</t>
        </is>
      </c>
      <c r="F12" s="20" t="inlineStr">
        <is>
          <t>RT250</t>
        </is>
      </c>
      <c r="G12" s="22" t="inlineStr">
        <is>
          <t>Ya tengo</t>
        </is>
      </c>
      <c r="H12" s="18" t="inlineStr">
        <is>
          <t>Ver ficha Klein</t>
        </is>
      </c>
      <c r="I12" s="19" t="inlineStr">
        <is>
          <t>https://www.kleintools.com/catalog/electrical-testers/gfci-receptacle-tester-lcd</t>
        </is>
      </c>
    </row>
    <row r="13">
      <c r="A13" s="12" t="n">
        <v>9</v>
      </c>
      <c r="B13" s="12" t="inlineStr">
        <is>
          <t>Klein</t>
        </is>
      </c>
      <c r="C13" s="12" t="inlineStr">
        <is>
          <t>Herramienta</t>
        </is>
      </c>
      <c r="D13" s="16" t="inlineStr">
        <is>
          <t>Electricidad</t>
        </is>
      </c>
      <c r="E13" s="16" t="inlineStr">
        <is>
          <t>Circuit Breaker Finder</t>
        </is>
      </c>
      <c r="F13" s="12" t="inlineStr">
        <is>
          <t>ET310</t>
        </is>
      </c>
      <c r="G13" s="22" t="inlineStr">
        <is>
          <t>Ya tengo</t>
        </is>
      </c>
      <c r="H13" s="18" t="inlineStr">
        <is>
          <t>Ver ficha Klein</t>
        </is>
      </c>
      <c r="I13" s="19" t="inlineStr">
        <is>
          <t>https://www.kleintools.com/catalog/electrical-testers/digital-circuit-breaker-finder-gfci-outlet-tester</t>
        </is>
      </c>
    </row>
    <row r="14">
      <c r="A14" s="20" t="n">
        <v>10</v>
      </c>
      <c r="B14" s="20" t="inlineStr">
        <is>
          <t>Klein</t>
        </is>
      </c>
      <c r="C14" s="20" t="inlineStr">
        <is>
          <t>Herramienta</t>
        </is>
      </c>
      <c r="D14" s="21" t="inlineStr">
        <is>
          <t>Electricidad</t>
        </is>
      </c>
      <c r="E14" s="21" t="inlineStr">
        <is>
          <t>Tone and Probe Kit</t>
        </is>
      </c>
      <c r="F14" s="20" t="inlineStr">
        <is>
          <t>VDV500-705P</t>
        </is>
      </c>
      <c r="G14" s="22" t="inlineStr">
        <is>
          <t>Ya tengo</t>
        </is>
      </c>
      <c r="H14" s="18" t="inlineStr">
        <is>
          <t>Ver ficha Klein</t>
        </is>
      </c>
      <c r="I14" s="19" t="inlineStr">
        <is>
          <t>https://www.kleintools.com/catalog/tone-probe/tone-probe-test-and-trace-kit</t>
        </is>
      </c>
    </row>
    <row r="15">
      <c r="A15" s="12" t="n">
        <v>11</v>
      </c>
      <c r="B15" s="12" t="inlineStr">
        <is>
          <t>Klein</t>
        </is>
      </c>
      <c r="C15" s="12" t="inlineStr">
        <is>
          <t>Herramienta</t>
        </is>
      </c>
      <c r="D15" s="16" t="inlineStr">
        <is>
          <t>Electricidad</t>
        </is>
      </c>
      <c r="E15" s="16" t="inlineStr">
        <is>
          <t>6-in-1 Insulated Screwdriver</t>
        </is>
      </c>
      <c r="F15" s="12" t="inlineStr">
        <is>
          <t>32306INS</t>
        </is>
      </c>
      <c r="G15" s="22" t="inlineStr">
        <is>
          <t>Ya tengo</t>
        </is>
      </c>
      <c r="H15" s="18" t="inlineStr">
        <is>
          <t>Ver ficha Klein</t>
        </is>
      </c>
      <c r="I15" s="19" t="inlineStr">
        <is>
          <t>https://www.kleintools.com/catalog/electricians-screwdrivers/6-1-insulated-auto-lock-screwdriver</t>
        </is>
      </c>
    </row>
    <row r="16">
      <c r="A16" s="20" t="n">
        <v>12</v>
      </c>
      <c r="B16" s="20" t="inlineStr">
        <is>
          <t>Klein</t>
        </is>
      </c>
      <c r="C16" s="20" t="inlineStr">
        <is>
          <t>Herramienta</t>
        </is>
      </c>
      <c r="D16" s="21" t="inlineStr">
        <is>
          <t>Electricidad</t>
        </is>
      </c>
      <c r="E16" s="21" t="inlineStr">
        <is>
          <t>9" Insulated Side-Cutting Pliers</t>
        </is>
      </c>
      <c r="F16" s="20" t="inlineStr">
        <is>
          <t>2139NERINS</t>
        </is>
      </c>
      <c r="G16" s="22" t="inlineStr">
        <is>
          <t>Ya tengo</t>
        </is>
      </c>
      <c r="H16" s="18" t="inlineStr">
        <is>
          <t>Ver ficha Klein</t>
        </is>
      </c>
      <c r="I16" s="19" t="inlineStr">
        <is>
          <t>https://www.kleintools.com/catalog/electricians-pliers/insulated-pliers-side-cutters-9-inch</t>
        </is>
      </c>
    </row>
    <row r="17">
      <c r="A17" s="12" t="n">
        <v>13</v>
      </c>
      <c r="B17" s="12" t="inlineStr">
        <is>
          <t>Klein</t>
        </is>
      </c>
      <c r="C17" s="12" t="inlineStr">
        <is>
          <t>Herramienta</t>
        </is>
      </c>
      <c r="D17" s="16" t="inlineStr">
        <is>
          <t>Electricidad</t>
        </is>
      </c>
      <c r="E17" s="16" t="inlineStr">
        <is>
          <t>8" Insulated Diagonal Cutting Pliers</t>
        </is>
      </c>
      <c r="F17" s="12" t="inlineStr">
        <is>
          <t>2288RINS</t>
        </is>
      </c>
      <c r="G17" s="22" t="inlineStr">
        <is>
          <t>Ya tengo</t>
        </is>
      </c>
      <c r="H17" s="18" t="inlineStr">
        <is>
          <t>Ver ficha Klein</t>
        </is>
      </c>
      <c r="I17" s="19" t="inlineStr">
        <is>
          <t>https://www.kleintools.com/catalog/electricians-pliers/diagonal-cutting-pliers-insulated-high-leverage-8-inch</t>
        </is>
      </c>
    </row>
    <row r="18">
      <c r="A18" s="20" t="n">
        <v>14</v>
      </c>
      <c r="B18" s="20" t="inlineStr">
        <is>
          <t>Klein</t>
        </is>
      </c>
      <c r="C18" s="20" t="inlineStr">
        <is>
          <t>Herramienta</t>
        </is>
      </c>
      <c r="D18" s="21" t="inlineStr">
        <is>
          <t>Electricidad</t>
        </is>
      </c>
      <c r="E18" s="21" t="inlineStr">
        <is>
          <t>8" Insulated Long Nose Pliers</t>
        </is>
      </c>
      <c r="F18" s="20" t="inlineStr">
        <is>
          <t>2038RINS</t>
        </is>
      </c>
      <c r="G18" s="22" t="inlineStr">
        <is>
          <t>Ya tengo</t>
        </is>
      </c>
      <c r="H18" s="18" t="inlineStr">
        <is>
          <t>Ver ficha Klein</t>
        </is>
      </c>
      <c r="I18" s="19" t="inlineStr">
        <is>
          <t>https://www.kleintools.com/catalog/insulated-pliers/pliers-long-nose-side-cutters-insulated-8-inch</t>
        </is>
      </c>
    </row>
    <row r="19">
      <c r="A19" s="12" t="n">
        <v>15</v>
      </c>
      <c r="B19" s="12" t="inlineStr">
        <is>
          <t>Klein</t>
        </is>
      </c>
      <c r="C19" s="12" t="inlineStr">
        <is>
          <t>Herramienta</t>
        </is>
      </c>
      <c r="D19" s="16" t="inlineStr">
        <is>
          <t>Electricidad</t>
        </is>
      </c>
      <c r="E19" s="16" t="inlineStr">
        <is>
          <t>Insulated Wire Stripper</t>
        </is>
      </c>
      <c r="F19" s="12" t="inlineStr">
        <is>
          <t>11055RINS</t>
        </is>
      </c>
      <c r="G19" s="22" t="inlineStr">
        <is>
          <t>Ya tengo</t>
        </is>
      </c>
      <c r="H19" s="18" t="inlineStr">
        <is>
          <t>Ver ficha Klein</t>
        </is>
      </c>
      <c r="I19" s="19" t="inlineStr">
        <is>
          <t>https://www.kleintools.com/catalog/electricians-cutting-and-crimping-tools/insulated-klein-kurve-wire-stripper-and-cutter</t>
        </is>
      </c>
    </row>
    <row r="20">
      <c r="A20" s="20" t="n">
        <v>16</v>
      </c>
      <c r="B20" s="20" t="inlineStr">
        <is>
          <t>Klein</t>
        </is>
      </c>
      <c r="C20" s="20" t="inlineStr">
        <is>
          <t>Herramienta</t>
        </is>
      </c>
      <c r="D20" s="21" t="inlineStr">
        <is>
          <t>Electricidad</t>
        </is>
      </c>
      <c r="E20" s="21" t="inlineStr">
        <is>
          <t>8-in-1 Insulated Screwdriver Set</t>
        </is>
      </c>
      <c r="F20" s="20" t="inlineStr">
        <is>
          <t>32288</t>
        </is>
      </c>
      <c r="G20" s="22" t="inlineStr">
        <is>
          <t>Ya tengo</t>
        </is>
      </c>
      <c r="H20" s="18" t="inlineStr">
        <is>
          <t>Ver ficha Klein</t>
        </is>
      </c>
      <c r="I20" s="19" t="inlineStr">
        <is>
          <t>https://www.kleintools.com/catalog/electricians-tool-sets/8-1-insulated-interchangeable-screwdriver-set</t>
        </is>
      </c>
    </row>
    <row r="21">
      <c r="A21" s="12" t="n">
        <v>17</v>
      </c>
      <c r="B21" s="12" t="inlineStr">
        <is>
          <t>Klein</t>
        </is>
      </c>
      <c r="C21" s="12" t="inlineStr">
        <is>
          <t>Herramienta</t>
        </is>
      </c>
      <c r="D21" s="16" t="inlineStr">
        <is>
          <t>Electricidad</t>
        </is>
      </c>
      <c r="E21" s="16" t="inlineStr">
        <is>
          <t>Insulated Crimping and Cutting Tool</t>
        </is>
      </c>
      <c r="F21" s="12" t="inlineStr">
        <is>
          <t>1005RINS</t>
        </is>
      </c>
      <c r="G21" s="17" t="inlineStr">
        <is>
          <t>Comprado</t>
        </is>
      </c>
      <c r="H21" s="18" t="inlineStr">
        <is>
          <t>Ver ficha Klein</t>
        </is>
      </c>
      <c r="I21" s="19" t="inlineStr">
        <is>
          <t>https://www.kleintools.com/catalog/electricians-cutting-and-crimping-tools/crimping-and-cutting-tool-connectors-insulated</t>
        </is>
      </c>
    </row>
    <row r="22">
      <c r="A22" s="20" t="n">
        <v>18</v>
      </c>
      <c r="B22" s="20" t="inlineStr">
        <is>
          <t>Klein</t>
        </is>
      </c>
      <c r="C22" s="20" t="inlineStr">
        <is>
          <t>Herramienta</t>
        </is>
      </c>
      <c r="D22" s="21" t="inlineStr">
        <is>
          <t>Electricidad</t>
        </is>
      </c>
      <c r="E22" s="21" t="inlineStr">
        <is>
          <t>Adjustable Length Screwdriver</t>
        </is>
      </c>
      <c r="F22" s="20" t="inlineStr">
        <is>
          <t>32751</t>
        </is>
      </c>
      <c r="G22" s="17" t="inlineStr">
        <is>
          <t>Comprado</t>
        </is>
      </c>
      <c r="H22" s="18" t="inlineStr">
        <is>
          <t>Ver ficha Klein</t>
        </is>
      </c>
      <c r="I22" s="19" t="inlineStr">
        <is>
          <t>https://www.kleintools.com/catalog/multi-bit-screwdrivers/adjustable-screwdriver-2-phillips-14-inch-slotted</t>
        </is>
      </c>
    </row>
    <row r="23">
      <c r="A23" s="12" t="n">
        <v>19</v>
      </c>
      <c r="B23" s="12" t="inlineStr">
        <is>
          <t>Klein</t>
        </is>
      </c>
      <c r="C23" s="12" t="inlineStr">
        <is>
          <t>Accesorio</t>
        </is>
      </c>
      <c r="D23" s="16" t="inlineStr">
        <is>
          <t>Electricidad</t>
        </is>
      </c>
      <c r="E23" s="16" t="inlineStr">
        <is>
          <t>Grab-And-Go Impact Socket Set (metrico)</t>
        </is>
      </c>
      <c r="F23" s="12" t="inlineStr">
        <is>
          <t>33809M</t>
        </is>
      </c>
      <c r="G23" s="17" t="inlineStr">
        <is>
          <t>Comprado</t>
        </is>
      </c>
      <c r="H23" s="18" t="inlineStr">
        <is>
          <t>Ver ficha Klein</t>
        </is>
      </c>
      <c r="I23" s="19" t="inlineStr">
        <is>
          <t>https://www.kleintools.com/catalog/impact-socket-sets/grab-and-go-impact-socket-set-metric-10-piece</t>
        </is>
      </c>
    </row>
    <row r="24">
      <c r="A24" s="20" t="n">
        <v>20</v>
      </c>
      <c r="B24" s="20" t="inlineStr">
        <is>
          <t>Milwaukee</t>
        </is>
      </c>
      <c r="C24" s="20" t="inlineStr">
        <is>
          <t>Herramienta</t>
        </is>
      </c>
      <c r="D24" s="21" t="inlineStr">
        <is>
          <t>Electrica M12</t>
        </is>
      </c>
      <c r="E24" s="21" t="inlineStr">
        <is>
          <t>FUEL Installation Drill/Driver 4-en-1</t>
        </is>
      </c>
      <c r="F24" s="20" t="inlineStr">
        <is>
          <t>2505-20</t>
        </is>
      </c>
      <c r="G24" s="22" t="inlineStr">
        <is>
          <t>Ya tengo</t>
        </is>
      </c>
      <c r="H24" s="18" t="inlineStr">
        <is>
          <t>Ver en Milwaukee</t>
        </is>
      </c>
      <c r="I24" s="19" t="inlineStr">
        <is>
          <t>https://www.milwaukeetool.com/Products/Power-Tools/Drilling/Installation-Drill-Drivers/M12-FUEL-Installation-Drill-Driver/2505-20</t>
        </is>
      </c>
    </row>
    <row r="25">
      <c r="A25" s="12" t="n">
        <v>21</v>
      </c>
      <c r="B25" s="12" t="inlineStr">
        <is>
          <t>Milwaukee</t>
        </is>
      </c>
      <c r="C25" s="12" t="inlineStr">
        <is>
          <t>Herramienta</t>
        </is>
      </c>
      <c r="D25" s="16" t="inlineStr">
        <is>
          <t>Electrica M12</t>
        </is>
      </c>
      <c r="E25" s="16" t="inlineStr">
        <is>
          <t>FUEL Stubby Impact Wrench</t>
        </is>
      </c>
      <c r="F25" s="12" t="inlineStr">
        <is>
          <t>2563-20</t>
        </is>
      </c>
      <c r="G25" s="22" t="inlineStr">
        <is>
          <t>Ya tengo</t>
        </is>
      </c>
      <c r="H25" s="18" t="inlineStr">
        <is>
          <t>Ver en Milwaukee</t>
        </is>
      </c>
      <c r="I25" s="19" t="inlineStr">
        <is>
          <t>https://www.milwaukeetool.com/Search?q=2563-20</t>
        </is>
      </c>
    </row>
    <row r="26">
      <c r="A26" s="20" t="n">
        <v>22</v>
      </c>
      <c r="B26" s="20" t="inlineStr">
        <is>
          <t>Milwaukee</t>
        </is>
      </c>
      <c r="C26" s="20" t="inlineStr">
        <is>
          <t>Herramienta</t>
        </is>
      </c>
      <c r="D26" s="21" t="inlineStr">
        <is>
          <t>Electrica M12</t>
        </is>
      </c>
      <c r="E26" s="21" t="inlineStr">
        <is>
          <t>FUEL Hammer Drill</t>
        </is>
      </c>
      <c r="F26" s="20" t="inlineStr">
        <is>
          <t>3404-20</t>
        </is>
      </c>
      <c r="G26" s="22" t="inlineStr">
        <is>
          <t>Ya tengo</t>
        </is>
      </c>
      <c r="H26" s="18" t="inlineStr">
        <is>
          <t>Ver en Milwaukee</t>
        </is>
      </c>
      <c r="I26" s="19" t="inlineStr">
        <is>
          <t>https://www.milwaukeetool.com/Search?q=3404-20</t>
        </is>
      </c>
    </row>
    <row r="27">
      <c r="A27" s="12" t="n">
        <v>23</v>
      </c>
      <c r="B27" s="12" t="inlineStr">
        <is>
          <t>Milwaukee</t>
        </is>
      </c>
      <c r="C27" s="12" t="inlineStr">
        <is>
          <t>Herramienta</t>
        </is>
      </c>
      <c r="D27" s="16" t="inlineStr">
        <is>
          <t>Electrica M12</t>
        </is>
      </c>
      <c r="E27" s="16" t="inlineStr">
        <is>
          <t>FUEL Impact Driver</t>
        </is>
      </c>
      <c r="F27" s="12" t="inlineStr">
        <is>
          <t>3453-20</t>
        </is>
      </c>
      <c r="G27" s="22" t="inlineStr">
        <is>
          <t>Ya tengo</t>
        </is>
      </c>
      <c r="H27" s="18" t="inlineStr">
        <is>
          <t>Ver en Milwaukee</t>
        </is>
      </c>
      <c r="I27" s="19" t="inlineStr">
        <is>
          <t>https://www.milwaukeetool.com/Search?q=3453-20</t>
        </is>
      </c>
    </row>
    <row r="28">
      <c r="A28" s="20" t="n">
        <v>24</v>
      </c>
      <c r="B28" s="20" t="inlineStr">
        <is>
          <t>Milwaukee</t>
        </is>
      </c>
      <c r="C28" s="20" t="inlineStr">
        <is>
          <t>Herramienta</t>
        </is>
      </c>
      <c r="D28" s="21" t="inlineStr">
        <is>
          <t>Electrica M12</t>
        </is>
      </c>
      <c r="E28" s="21" t="inlineStr">
        <is>
          <t>FUEL Oscillating Multi-Tool</t>
        </is>
      </c>
      <c r="F28" s="20" t="inlineStr">
        <is>
          <t>2526-20</t>
        </is>
      </c>
      <c r="G28" s="22" t="inlineStr">
        <is>
          <t>Ya tengo</t>
        </is>
      </c>
      <c r="H28" s="18" t="inlineStr">
        <is>
          <t>Ver en Milwaukee</t>
        </is>
      </c>
      <c r="I28" s="19" t="inlineStr">
        <is>
          <t>https://www.milwaukeetool.com/Search?q=2526-20</t>
        </is>
      </c>
    </row>
    <row r="29">
      <c r="A29" s="12" t="n">
        <v>25</v>
      </c>
      <c r="B29" s="12" t="inlineStr">
        <is>
          <t>Milwaukee</t>
        </is>
      </c>
      <c r="C29" s="12" t="inlineStr">
        <is>
          <t>Herramienta</t>
        </is>
      </c>
      <c r="D29" s="16" t="inlineStr">
        <is>
          <t>Electrica M12</t>
        </is>
      </c>
      <c r="E29" s="16" t="inlineStr">
        <is>
          <t>ROVER Flood Light</t>
        </is>
      </c>
      <c r="F29" s="12" t="inlineStr">
        <is>
          <t>2367-20</t>
        </is>
      </c>
      <c r="G29" s="22" t="inlineStr">
        <is>
          <t>Ya tengo</t>
        </is>
      </c>
      <c r="H29" s="18" t="inlineStr">
        <is>
          <t>Ver en Milwaukee</t>
        </is>
      </c>
      <c r="I29" s="19" t="inlineStr">
        <is>
          <t>https://www.milwaukeetool.com/Search?q=2367-20</t>
        </is>
      </c>
    </row>
    <row r="30">
      <c r="A30" s="20" t="n">
        <v>26</v>
      </c>
      <c r="B30" s="20" t="inlineStr">
        <is>
          <t>Milwaukee</t>
        </is>
      </c>
      <c r="C30" s="20" t="inlineStr">
        <is>
          <t>Herramienta</t>
        </is>
      </c>
      <c r="D30" s="21" t="inlineStr">
        <is>
          <t>Electrica M12</t>
        </is>
      </c>
      <c r="E30" s="21" t="inlineStr">
        <is>
          <t>FUEL 3" Compact Cut Off Tool</t>
        </is>
      </c>
      <c r="F30" s="20" t="inlineStr">
        <is>
          <t>2522-20</t>
        </is>
      </c>
      <c r="G30" s="17" t="inlineStr">
        <is>
          <t>Comprado</t>
        </is>
      </c>
      <c r="H30" s="18" t="inlineStr">
        <is>
          <t>Ver en Milwaukee</t>
        </is>
      </c>
      <c r="I30" s="19" t="inlineStr">
        <is>
          <t>https://www.milwaukeetool.com/Search?q=2522-20</t>
        </is>
      </c>
    </row>
    <row r="31">
      <c r="A31" s="12" t="n">
        <v>27</v>
      </c>
      <c r="B31" s="12" t="inlineStr">
        <is>
          <t>Milwaukee</t>
        </is>
      </c>
      <c r="C31" s="12" t="inlineStr">
        <is>
          <t>Herramienta</t>
        </is>
      </c>
      <c r="D31" s="16" t="inlineStr">
        <is>
          <t>Electrica M18</t>
        </is>
      </c>
      <c r="E31" s="16" t="inlineStr">
        <is>
          <t>M18 FUEL Sawzall (Sierra Sable)</t>
        </is>
      </c>
      <c r="F31" s="12" t="inlineStr">
        <is>
          <t>2719-20</t>
        </is>
      </c>
      <c r="G31" s="17" t="inlineStr">
        <is>
          <t>Comprado</t>
        </is>
      </c>
      <c r="H31" s="18" t="inlineStr">
        <is>
          <t>Ver en Milwaukee</t>
        </is>
      </c>
      <c r="I31" s="19" t="inlineStr">
        <is>
          <t>https://www.milwaukeetool.com/Search?q=2719-20</t>
        </is>
      </c>
    </row>
    <row r="32">
      <c r="A32" s="20" t="n">
        <v>28</v>
      </c>
      <c r="B32" s="20" t="inlineStr">
        <is>
          <t>Milwaukee</t>
        </is>
      </c>
      <c r="C32" s="20" t="inlineStr">
        <is>
          <t>Accesorio</t>
        </is>
      </c>
      <c r="D32" s="21" t="inlineStr">
        <is>
          <t>Electrica M18</t>
        </is>
      </c>
      <c r="E32" s="21" t="inlineStr">
        <is>
          <t>Bateria 18V XC 5.0 Ah</t>
        </is>
      </c>
      <c r="F32" s="20" t="inlineStr">
        <is>
          <t>Incluida</t>
        </is>
      </c>
      <c r="G32" s="17" t="inlineStr">
        <is>
          <t>Comprado</t>
        </is>
      </c>
      <c r="H32" s="18" t="inlineStr">
        <is>
          <t>Ver en Milwaukee</t>
        </is>
      </c>
      <c r="I32" s="19" t="inlineStr">
        <is>
          <t>https://www.milwaukeetool.com/Products/Power-Tools/Batteries-Chargers/Batteries</t>
        </is>
      </c>
    </row>
    <row r="33">
      <c r="A33" s="12" t="n">
        <v>29</v>
      </c>
      <c r="B33" s="12" t="inlineStr">
        <is>
          <t>Milwaukee</t>
        </is>
      </c>
      <c r="C33" s="12" t="inlineStr">
        <is>
          <t>Accesorio</t>
        </is>
      </c>
      <c r="D33" s="16" t="inlineStr">
        <is>
          <t>Electrica M18</t>
        </is>
      </c>
      <c r="E33" s="16" t="inlineStr">
        <is>
          <t>Cargador 12-18V</t>
        </is>
      </c>
      <c r="F33" s="12" t="inlineStr">
        <is>
          <t>Incluido</t>
        </is>
      </c>
      <c r="G33" s="17" t="inlineStr">
        <is>
          <t>Comprado</t>
        </is>
      </c>
      <c r="H33" s="18" t="inlineStr">
        <is>
          <t>Ver en Milwaukee</t>
        </is>
      </c>
      <c r="I33" s="19" t="inlineStr">
        <is>
          <t>https://www.milwaukeetool.com/Products/Power-Tools/Batteries-Chargers/Chargers</t>
        </is>
      </c>
    </row>
    <row r="34">
      <c r="A34" s="20" t="n">
        <v>30</v>
      </c>
      <c r="B34" s="20" t="inlineStr">
        <is>
          <t>Milwaukee</t>
        </is>
      </c>
      <c r="C34" s="20" t="inlineStr">
        <is>
          <t>Organizacion</t>
        </is>
      </c>
      <c r="D34" s="21" t="inlineStr">
        <is>
          <t>Organizacion</t>
        </is>
      </c>
      <c r="E34" s="21" t="inlineStr">
        <is>
          <t>PACKOUT Backpack</t>
        </is>
      </c>
      <c r="F34" s="20" t="inlineStr">
        <is>
          <t>48-22-8301</t>
        </is>
      </c>
      <c r="G34" s="17" t="inlineStr">
        <is>
          <t>Comprado</t>
        </is>
      </c>
      <c r="H34" s="18" t="inlineStr">
        <is>
          <t>Ver en Milwaukee</t>
        </is>
      </c>
      <c r="I34" s="19" t="inlineStr">
        <is>
          <t>https://www.milwaukeetool.com/Search?q=48-22-8301</t>
        </is>
      </c>
    </row>
    <row r="35">
      <c r="A35" s="12" t="n">
        <v>31</v>
      </c>
      <c r="B35" s="12" t="inlineStr">
        <is>
          <t>Milwaukee</t>
        </is>
      </c>
      <c r="C35" s="12" t="inlineStr">
        <is>
          <t>Organizacion</t>
        </is>
      </c>
      <c r="D35" s="16" t="inlineStr">
        <is>
          <t>Organizacion</t>
        </is>
      </c>
      <c r="E35" s="16" t="inlineStr">
        <is>
          <t>PACKOUT Compact Organizer</t>
        </is>
      </c>
      <c r="F35" s="12" t="inlineStr">
        <is>
          <t>48-22-8435</t>
        </is>
      </c>
      <c r="G35" s="17" t="inlineStr">
        <is>
          <t>Comprado</t>
        </is>
      </c>
      <c r="H35" s="18" t="inlineStr">
        <is>
          <t>Ver en Milwaukee</t>
        </is>
      </c>
      <c r="I35" s="19" t="inlineStr">
        <is>
          <t>https://www.milwaukeetool.com/Search?q=48-22-8435</t>
        </is>
      </c>
    </row>
    <row r="36">
      <c r="A36" s="20" t="n">
        <v>32</v>
      </c>
      <c r="B36" s="20" t="inlineStr">
        <is>
          <t>Skil</t>
        </is>
      </c>
      <c r="C36" s="20" t="inlineStr">
        <is>
          <t>Herramienta</t>
        </is>
      </c>
      <c r="D36" s="21" t="inlineStr">
        <is>
          <t>Electrica</t>
        </is>
      </c>
      <c r="E36" s="21" t="inlineStr">
        <is>
          <t>Martillo Automatico</t>
        </is>
      </c>
      <c r="F36" s="20" t="inlineStr">
        <is>
          <t>AH6552A-00</t>
        </is>
      </c>
      <c r="G36" s="22" t="inlineStr">
        <is>
          <t>Ya tengo</t>
        </is>
      </c>
      <c r="H36" s="18" t="inlineStr">
        <is>
          <t>Ver en Skil</t>
        </is>
      </c>
      <c r="I36" s="19" t="inlineStr">
        <is>
          <t>https://www.skil.com/search?q=AH6552A</t>
        </is>
      </c>
    </row>
    <row r="37">
      <c r="A37" s="12" t="n">
        <v>33</v>
      </c>
      <c r="B37" s="12" t="inlineStr">
        <is>
          <t>Antive</t>
        </is>
      </c>
      <c r="C37" s="12" t="inlineStr">
        <is>
          <t>Herramienta</t>
        </is>
      </c>
      <c r="D37" s="16" t="inlineStr">
        <is>
          <t>Electrica</t>
        </is>
      </c>
      <c r="E37" s="16" t="inlineStr">
        <is>
          <t>Tijeras Electricas Inalambricas</t>
        </is>
      </c>
      <c r="F37" s="12" t="inlineStr">
        <is>
          <t>E-S01</t>
        </is>
      </c>
      <c r="G37" s="22" t="inlineStr">
        <is>
          <t>Ya tengo</t>
        </is>
      </c>
      <c r="H37" s="18" t="inlineStr">
        <is>
          <t>Ver en Antive</t>
        </is>
      </c>
      <c r="I37" s="19" t="inlineStr">
        <is>
          <t>https://www.amazon.com/s?k=Antive+E-S01+electric+scissors</t>
        </is>
      </c>
    </row>
    <row r="38">
      <c r="A38" s="20" t="n">
        <v>34</v>
      </c>
      <c r="B38" s="20" t="inlineStr">
        <is>
          <t>Huepar</t>
        </is>
      </c>
      <c r="C38" s="20" t="inlineStr">
        <is>
          <t>Herramienta</t>
        </is>
      </c>
      <c r="D38" s="21" t="inlineStr">
        <is>
          <t>Precision</t>
        </is>
      </c>
      <c r="E38" s="21" t="inlineStr">
        <is>
          <t>Nivel Laser Verde Cross-Line</t>
        </is>
      </c>
      <c r="F38" s="20" t="inlineStr">
        <is>
          <t>BOX-1G</t>
        </is>
      </c>
      <c r="G38" s="22" t="inlineStr">
        <is>
          <t>Ya tengo</t>
        </is>
      </c>
      <c r="H38" s="18" t="inlineStr">
        <is>
          <t>Ver en Huepar</t>
        </is>
      </c>
      <c r="I38" s="19" t="inlineStr">
        <is>
          <t>https://huepar.com/products/huepar-box1g-laser-level</t>
        </is>
      </c>
    </row>
    <row r="39">
      <c r="A39" s="12" t="n">
        <v>35</v>
      </c>
      <c r="B39" s="12" t="inlineStr">
        <is>
          <t>Franklin</t>
        </is>
      </c>
      <c r="C39" s="12" t="inlineStr">
        <is>
          <t>Herramienta</t>
        </is>
      </c>
      <c r="D39" s="16" t="inlineStr">
        <is>
          <t>Precision</t>
        </is>
      </c>
      <c r="E39" s="16" t="inlineStr">
        <is>
          <t>Nivel Digital Electronico</t>
        </is>
      </c>
      <c r="F39" s="12" t="inlineStr">
        <is>
          <t>iA12</t>
        </is>
      </c>
      <c r="G39" s="22" t="inlineStr">
        <is>
          <t>Ya tengo</t>
        </is>
      </c>
      <c r="H39" s="18" t="inlineStr">
        <is>
          <t>Ver en Franklin</t>
        </is>
      </c>
      <c r="I39" s="19" t="inlineStr">
        <is>
          <t>https://www.amazon.com/s?k=Franklin+Sensors+iA12</t>
        </is>
      </c>
    </row>
    <row r="40">
      <c r="A40" s="20" t="n">
        <v>36</v>
      </c>
      <c r="B40" s="20" t="inlineStr">
        <is>
          <t>LEXIVON</t>
        </is>
      </c>
      <c r="C40" s="20" t="inlineStr">
        <is>
          <t>Herramienta</t>
        </is>
      </c>
      <c r="D40" s="21" t="inlineStr">
        <is>
          <t>Soldadura</t>
        </is>
      </c>
      <c r="E40" s="21" t="inlineStr">
        <is>
          <t>Soldador de Butano 7 puntas</t>
        </is>
      </c>
      <c r="F40" s="20" t="inlineStr">
        <is>
          <t>LX-770</t>
        </is>
      </c>
      <c r="G40" s="22" t="inlineStr">
        <is>
          <t>Ya tengo</t>
        </is>
      </c>
      <c r="H40" s="18" t="inlineStr">
        <is>
          <t>Ver en LEXIVON</t>
        </is>
      </c>
      <c r="I40" s="19" t="inlineStr">
        <is>
          <t>https://www.lexivon.com/products/lx-770</t>
        </is>
      </c>
    </row>
    <row r="41">
      <c r="A41" s="12" t="n">
        <v>37</v>
      </c>
      <c r="B41" s="12" t="inlineStr">
        <is>
          <t>Milwaukee</t>
        </is>
      </c>
      <c r="C41" s="12" t="inlineStr">
        <is>
          <t>Seguridad</t>
        </is>
      </c>
      <c r="D41" s="16" t="inlineStr">
        <is>
          <t>Seguridad</t>
        </is>
      </c>
      <c r="E41" s="16" t="inlineStr">
        <is>
          <t>Lentes de seguridad</t>
        </is>
      </c>
      <c r="F41" s="12" t="inlineStr">
        <is>
          <t>48-73-2013</t>
        </is>
      </c>
      <c r="G41" s="22" t="inlineStr">
        <is>
          <t>Ya tengo</t>
        </is>
      </c>
      <c r="H41" s="18" t="inlineStr">
        <is>
          <t>Ver en Milwaukee</t>
        </is>
      </c>
      <c r="I41" s="19" t="inlineStr">
        <is>
          <t>https://www.milwaukeetool.com/Search?q=48-73-2013</t>
        </is>
      </c>
    </row>
    <row r="42">
      <c r="A42" s="20" t="n">
        <v>38</v>
      </c>
      <c r="B42" s="20" t="inlineStr">
        <is>
          <t>Milwaukee</t>
        </is>
      </c>
      <c r="C42" s="20" t="inlineStr">
        <is>
          <t>Seguridad</t>
        </is>
      </c>
      <c r="D42" s="21" t="inlineStr">
        <is>
          <t>Seguridad</t>
        </is>
      </c>
      <c r="E42" s="21" t="inlineStr">
        <is>
          <t>Guantes PACKOUT Cut Level 1 Smartswipe</t>
        </is>
      </c>
      <c r="F42" s="20" t="inlineStr">
        <is>
          <t>48-73-2013</t>
        </is>
      </c>
      <c r="G42" s="22" t="inlineStr">
        <is>
          <t>Ya tengo</t>
        </is>
      </c>
      <c r="H42" s="18" t="inlineStr">
        <is>
          <t>Ver en Milwaukee</t>
        </is>
      </c>
      <c r="I42" s="19" t="inlineStr">
        <is>
          <t>https://www.milwaukeetool.com/Search?q=PACKOUT+Cut+Level+Smartswipe+gloves</t>
        </is>
      </c>
    </row>
    <row r="43">
      <c r="A43" s="12" t="n">
        <v>39</v>
      </c>
      <c r="B43" s="12" t="inlineStr">
        <is>
          <t>Milwaukee</t>
        </is>
      </c>
      <c r="C43" s="12" t="inlineStr">
        <is>
          <t>Accesorio</t>
        </is>
      </c>
      <c r="D43" s="16" t="inlineStr">
        <is>
          <t>Accesorio</t>
        </is>
      </c>
      <c r="E43" s="16" t="inlineStr">
        <is>
          <t>Juego de 3 hojas para Multi-Tool</t>
        </is>
      </c>
      <c r="F43" s="12" t="inlineStr">
        <is>
          <t>49-10-9001</t>
        </is>
      </c>
      <c r="G43" s="17" t="inlineStr">
        <is>
          <t>Comprado</t>
        </is>
      </c>
      <c r="H43" s="18" t="inlineStr">
        <is>
          <t>Ver en Milwaukee</t>
        </is>
      </c>
      <c r="I43" s="19" t="inlineStr">
        <is>
          <t>https://www.milwaukeetool.com/Search?q=49-10-9001</t>
        </is>
      </c>
    </row>
  </sheetData>
  <autoFilter ref="A4:I43"/>
  <mergeCells count="2">
    <mergeCell ref="A1:I1"/>
    <mergeCell ref="A3:I3"/>
  </mergeCells>
  <dataValidations count="1">
    <dataValidation sqref="G5:G43" showDropDown="0" showInputMessage="0" showErrorMessage="0" allowBlank="0" type="list">
      <formula1>"Comprado,Ya tengo"</formula1>
    </dataValidation>
  </dataValidations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H7" r:id="rId5"/>
    <hyperlink xmlns:r="http://schemas.openxmlformats.org/officeDocument/2006/relationships" ref="I7" r:id="rId6"/>
    <hyperlink xmlns:r="http://schemas.openxmlformats.org/officeDocument/2006/relationships" ref="H8" r:id="rId7"/>
    <hyperlink xmlns:r="http://schemas.openxmlformats.org/officeDocument/2006/relationships" ref="I8" r:id="rId8"/>
    <hyperlink xmlns:r="http://schemas.openxmlformats.org/officeDocument/2006/relationships" ref="H9" r:id="rId9"/>
    <hyperlink xmlns:r="http://schemas.openxmlformats.org/officeDocument/2006/relationships" ref="I9" r:id="rId10"/>
    <hyperlink xmlns:r="http://schemas.openxmlformats.org/officeDocument/2006/relationships" ref="H10" r:id="rId11"/>
    <hyperlink xmlns:r="http://schemas.openxmlformats.org/officeDocument/2006/relationships" ref="I10" r:id="rId12"/>
    <hyperlink xmlns:r="http://schemas.openxmlformats.org/officeDocument/2006/relationships" ref="H11" r:id="rId13"/>
    <hyperlink xmlns:r="http://schemas.openxmlformats.org/officeDocument/2006/relationships" ref="I11" r:id="rId14"/>
    <hyperlink xmlns:r="http://schemas.openxmlformats.org/officeDocument/2006/relationships" ref="H12" r:id="rId15"/>
    <hyperlink xmlns:r="http://schemas.openxmlformats.org/officeDocument/2006/relationships" ref="I12" r:id="rId16"/>
    <hyperlink xmlns:r="http://schemas.openxmlformats.org/officeDocument/2006/relationships" ref="H13" r:id="rId17"/>
    <hyperlink xmlns:r="http://schemas.openxmlformats.org/officeDocument/2006/relationships" ref="I13" r:id="rId18"/>
    <hyperlink xmlns:r="http://schemas.openxmlformats.org/officeDocument/2006/relationships" ref="H14" r:id="rId19"/>
    <hyperlink xmlns:r="http://schemas.openxmlformats.org/officeDocument/2006/relationships" ref="I14" r:id="rId20"/>
    <hyperlink xmlns:r="http://schemas.openxmlformats.org/officeDocument/2006/relationships" ref="H15" r:id="rId21"/>
    <hyperlink xmlns:r="http://schemas.openxmlformats.org/officeDocument/2006/relationships" ref="I15" r:id="rId22"/>
    <hyperlink xmlns:r="http://schemas.openxmlformats.org/officeDocument/2006/relationships" ref="H16" r:id="rId23"/>
    <hyperlink xmlns:r="http://schemas.openxmlformats.org/officeDocument/2006/relationships" ref="I16" r:id="rId24"/>
    <hyperlink xmlns:r="http://schemas.openxmlformats.org/officeDocument/2006/relationships" ref="H17" r:id="rId25"/>
    <hyperlink xmlns:r="http://schemas.openxmlformats.org/officeDocument/2006/relationships" ref="I17" r:id="rId26"/>
    <hyperlink xmlns:r="http://schemas.openxmlformats.org/officeDocument/2006/relationships" ref="H18" r:id="rId27"/>
    <hyperlink xmlns:r="http://schemas.openxmlformats.org/officeDocument/2006/relationships" ref="I18" r:id="rId28"/>
    <hyperlink xmlns:r="http://schemas.openxmlformats.org/officeDocument/2006/relationships" ref="H19" r:id="rId29"/>
    <hyperlink xmlns:r="http://schemas.openxmlformats.org/officeDocument/2006/relationships" ref="I19" r:id="rId30"/>
    <hyperlink xmlns:r="http://schemas.openxmlformats.org/officeDocument/2006/relationships" ref="H20" r:id="rId31"/>
    <hyperlink xmlns:r="http://schemas.openxmlformats.org/officeDocument/2006/relationships" ref="I20" r:id="rId32"/>
    <hyperlink xmlns:r="http://schemas.openxmlformats.org/officeDocument/2006/relationships" ref="H21" r:id="rId33"/>
    <hyperlink xmlns:r="http://schemas.openxmlformats.org/officeDocument/2006/relationships" ref="I21" r:id="rId34"/>
    <hyperlink xmlns:r="http://schemas.openxmlformats.org/officeDocument/2006/relationships" ref="H22" r:id="rId35"/>
    <hyperlink xmlns:r="http://schemas.openxmlformats.org/officeDocument/2006/relationships" ref="I22" r:id="rId36"/>
    <hyperlink xmlns:r="http://schemas.openxmlformats.org/officeDocument/2006/relationships" ref="H23" r:id="rId37"/>
    <hyperlink xmlns:r="http://schemas.openxmlformats.org/officeDocument/2006/relationships" ref="I23" r:id="rId38"/>
    <hyperlink xmlns:r="http://schemas.openxmlformats.org/officeDocument/2006/relationships" ref="H24" r:id="rId39"/>
    <hyperlink xmlns:r="http://schemas.openxmlformats.org/officeDocument/2006/relationships" ref="I24" r:id="rId40"/>
    <hyperlink xmlns:r="http://schemas.openxmlformats.org/officeDocument/2006/relationships" ref="H25" r:id="rId41"/>
    <hyperlink xmlns:r="http://schemas.openxmlformats.org/officeDocument/2006/relationships" ref="I25" r:id="rId42"/>
    <hyperlink xmlns:r="http://schemas.openxmlformats.org/officeDocument/2006/relationships" ref="H26" r:id="rId43"/>
    <hyperlink xmlns:r="http://schemas.openxmlformats.org/officeDocument/2006/relationships" ref="I26" r:id="rId44"/>
    <hyperlink xmlns:r="http://schemas.openxmlformats.org/officeDocument/2006/relationships" ref="H27" r:id="rId45"/>
    <hyperlink xmlns:r="http://schemas.openxmlformats.org/officeDocument/2006/relationships" ref="I27" r:id="rId46"/>
    <hyperlink xmlns:r="http://schemas.openxmlformats.org/officeDocument/2006/relationships" ref="H28" r:id="rId47"/>
    <hyperlink xmlns:r="http://schemas.openxmlformats.org/officeDocument/2006/relationships" ref="I28" r:id="rId48"/>
    <hyperlink xmlns:r="http://schemas.openxmlformats.org/officeDocument/2006/relationships" ref="H29" r:id="rId49"/>
    <hyperlink xmlns:r="http://schemas.openxmlformats.org/officeDocument/2006/relationships" ref="I29" r:id="rId50"/>
    <hyperlink xmlns:r="http://schemas.openxmlformats.org/officeDocument/2006/relationships" ref="H30" r:id="rId51"/>
    <hyperlink xmlns:r="http://schemas.openxmlformats.org/officeDocument/2006/relationships" ref="I30" r:id="rId52"/>
    <hyperlink xmlns:r="http://schemas.openxmlformats.org/officeDocument/2006/relationships" ref="H31" r:id="rId53"/>
    <hyperlink xmlns:r="http://schemas.openxmlformats.org/officeDocument/2006/relationships" ref="I31" r:id="rId54"/>
    <hyperlink xmlns:r="http://schemas.openxmlformats.org/officeDocument/2006/relationships" ref="H32" r:id="rId55"/>
    <hyperlink xmlns:r="http://schemas.openxmlformats.org/officeDocument/2006/relationships" ref="I32" r:id="rId56"/>
    <hyperlink xmlns:r="http://schemas.openxmlformats.org/officeDocument/2006/relationships" ref="H33" r:id="rId57"/>
    <hyperlink xmlns:r="http://schemas.openxmlformats.org/officeDocument/2006/relationships" ref="I33" r:id="rId58"/>
    <hyperlink xmlns:r="http://schemas.openxmlformats.org/officeDocument/2006/relationships" ref="H34" r:id="rId59"/>
    <hyperlink xmlns:r="http://schemas.openxmlformats.org/officeDocument/2006/relationships" ref="I34" r:id="rId60"/>
    <hyperlink xmlns:r="http://schemas.openxmlformats.org/officeDocument/2006/relationships" ref="H35" r:id="rId61"/>
    <hyperlink xmlns:r="http://schemas.openxmlformats.org/officeDocument/2006/relationships" ref="I35" r:id="rId62"/>
    <hyperlink xmlns:r="http://schemas.openxmlformats.org/officeDocument/2006/relationships" ref="H36" r:id="rId63"/>
    <hyperlink xmlns:r="http://schemas.openxmlformats.org/officeDocument/2006/relationships" ref="I36" r:id="rId64"/>
    <hyperlink xmlns:r="http://schemas.openxmlformats.org/officeDocument/2006/relationships" ref="H37" r:id="rId65"/>
    <hyperlink xmlns:r="http://schemas.openxmlformats.org/officeDocument/2006/relationships" ref="I37" r:id="rId66"/>
    <hyperlink xmlns:r="http://schemas.openxmlformats.org/officeDocument/2006/relationships" ref="H38" r:id="rId67"/>
    <hyperlink xmlns:r="http://schemas.openxmlformats.org/officeDocument/2006/relationships" ref="I38" r:id="rId68"/>
    <hyperlink xmlns:r="http://schemas.openxmlformats.org/officeDocument/2006/relationships" ref="H39" r:id="rId69"/>
    <hyperlink xmlns:r="http://schemas.openxmlformats.org/officeDocument/2006/relationships" ref="I39" r:id="rId70"/>
    <hyperlink xmlns:r="http://schemas.openxmlformats.org/officeDocument/2006/relationships" ref="H40" r:id="rId71"/>
    <hyperlink xmlns:r="http://schemas.openxmlformats.org/officeDocument/2006/relationships" ref="I40" r:id="rId72"/>
    <hyperlink xmlns:r="http://schemas.openxmlformats.org/officeDocument/2006/relationships" ref="H41" r:id="rId73"/>
    <hyperlink xmlns:r="http://schemas.openxmlformats.org/officeDocument/2006/relationships" ref="I41" r:id="rId74"/>
    <hyperlink xmlns:r="http://schemas.openxmlformats.org/officeDocument/2006/relationships" ref="H42" r:id="rId75"/>
    <hyperlink xmlns:r="http://schemas.openxmlformats.org/officeDocument/2006/relationships" ref="I42" r:id="rId76"/>
    <hyperlink xmlns:r="http://schemas.openxmlformats.org/officeDocument/2006/relationships" ref="H43" r:id="rId77"/>
    <hyperlink xmlns:r="http://schemas.openxmlformats.org/officeDocument/2006/relationships" ref="I43" r:id="rId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14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>
      <c r="A1" s="1" t="inlineStr">
        <is>
          <t>Pendientes de compra - Arsenal Multioficio 2026</t>
        </is>
      </c>
    </row>
    <row r="2">
      <c r="A2" s="2" t="inlineStr">
        <is>
          <t>Prioridad 1 = mas urgente. Montos en colones (CRC). Enlaces al sitio de la marca.</t>
        </is>
      </c>
    </row>
    <row r="4">
      <c r="A4" s="23" t="inlineStr">
        <is>
          <t>Prioridad</t>
        </is>
      </c>
      <c r="B4" s="23" t="inlineStr">
        <is>
          <t>Marca</t>
        </is>
      </c>
      <c r="C4" s="23" t="inlineStr">
        <is>
          <t>Herramienta</t>
        </is>
      </c>
      <c r="D4" s="23" t="inlineStr">
        <is>
          <t>Modelo</t>
        </is>
      </c>
      <c r="E4" s="23" t="inlineStr">
        <is>
          <t>Precio (CRC)</t>
        </is>
      </c>
      <c r="F4" s="23" t="inlineStr">
        <is>
          <t>Notas</t>
        </is>
      </c>
      <c r="G4" s="23" t="inlineStr">
        <is>
          <t>Enlace marca</t>
        </is>
      </c>
      <c r="H4" s="23" t="inlineStr">
        <is>
          <t>URL</t>
        </is>
      </c>
    </row>
    <row r="5">
      <c r="A5" s="24" t="n">
        <v>1</v>
      </c>
      <c r="B5" s="24" t="inlineStr">
        <is>
          <t>Klein</t>
        </is>
      </c>
      <c r="C5" s="25" t="inlineStr">
        <is>
          <t>KNECT 15-Piece Pass Through Socket Set</t>
        </is>
      </c>
      <c r="D5" s="24" t="inlineStr">
        <is>
          <t>65400</t>
        </is>
      </c>
      <c r="E5" s="25" t="n"/>
      <c r="F5" s="25" t="inlineStr">
        <is>
          <t>Sockets</t>
        </is>
      </c>
      <c r="G5" s="26" t="inlineStr">
        <is>
          <t>Ver ficha Klein</t>
        </is>
      </c>
      <c r="H5" s="27" t="inlineStr">
        <is>
          <t>https://www.kleintools.com/catalog/socket-wrenches/knect-38-inch-drive-impact-rated-pass-through-socket-set-15-piece</t>
        </is>
      </c>
    </row>
    <row r="6">
      <c r="A6" s="24" t="n">
        <v>2</v>
      </c>
      <c r="B6" s="24" t="inlineStr">
        <is>
          <t>Klein</t>
        </is>
      </c>
      <c r="C6" s="25" t="inlineStr">
        <is>
          <t>Clamp Meter 600A</t>
        </is>
      </c>
      <c r="D6" s="24" t="inlineStr">
        <is>
          <t>CL810</t>
        </is>
      </c>
      <c r="E6" s="28" t="n">
        <v>80000</v>
      </c>
      <c r="F6" s="25" t="inlineStr">
        <is>
          <t>Medicion</t>
        </is>
      </c>
      <c r="G6" s="26" t="inlineStr">
        <is>
          <t>Ver ficha Klein</t>
        </is>
      </c>
      <c r="H6" s="27" t="inlineStr">
        <is>
          <t>https://www.kleintools.com/catalog/clamp-meters/600a-acdc-auto-ranging-trms-clamp-meter-worklight</t>
        </is>
      </c>
    </row>
    <row r="7">
      <c r="A7" s="24" t="n">
        <v>3</v>
      </c>
      <c r="B7" s="24" t="inlineStr">
        <is>
          <t>Milwaukee</t>
        </is>
      </c>
      <c r="C7" s="25" t="inlineStr">
        <is>
          <t>PACKOUT Rolling Drawer Tool Box</t>
        </is>
      </c>
      <c r="D7" s="24" t="inlineStr">
        <is>
          <t>48-22-8420</t>
        </is>
      </c>
      <c r="E7" s="25" t="n"/>
      <c r="F7" s="25" t="inlineStr">
        <is>
          <t>Organizacion</t>
        </is>
      </c>
      <c r="G7" s="26" t="inlineStr">
        <is>
          <t>Ver en Milwaukee</t>
        </is>
      </c>
      <c r="H7" s="27" t="inlineStr">
        <is>
          <t>https://www.milwaukeetool.com/Search?q=48-22-8420</t>
        </is>
      </c>
    </row>
    <row r="8">
      <c r="A8" s="24" t="n">
        <v>4</v>
      </c>
      <c r="B8" s="24" t="inlineStr">
        <is>
          <t>Milwaukee</t>
        </is>
      </c>
      <c r="C8" s="25" t="inlineStr">
        <is>
          <t>PACKOUT 2-Wheel Utility Cart</t>
        </is>
      </c>
      <c r="D8" s="24" t="inlineStr">
        <is>
          <t>48-22-8415</t>
        </is>
      </c>
      <c r="E8" s="25" t="n"/>
      <c r="F8" s="25" t="inlineStr">
        <is>
          <t>Organizacion</t>
        </is>
      </c>
      <c r="G8" s="26" t="inlineStr">
        <is>
          <t>Ver en Milwaukee</t>
        </is>
      </c>
      <c r="H8" s="27" t="inlineStr">
        <is>
          <t>https://www.milwaukeetool.com/Search?q=48-22-8415</t>
        </is>
      </c>
    </row>
    <row r="9">
      <c r="A9" s="24" t="n">
        <v>5</v>
      </c>
      <c r="B9" s="24" t="inlineStr">
        <is>
          <t>Milwaukee</t>
        </is>
      </c>
      <c r="C9" s="25" t="inlineStr">
        <is>
          <t>M12 AIRSNAKE</t>
        </is>
      </c>
      <c r="D9" s="24" t="inlineStr">
        <is>
          <t>2572B-21</t>
        </is>
      </c>
      <c r="E9" s="28" t="n">
        <v>280000</v>
      </c>
      <c r="F9" s="25" t="inlineStr">
        <is>
          <t>Fontaneria</t>
        </is>
      </c>
      <c r="G9" s="26" t="inlineStr">
        <is>
          <t>Ver en Milwaukee</t>
        </is>
      </c>
      <c r="H9" s="27" t="inlineStr">
        <is>
          <t>https://www.milwaukeetool.com/Search?q=2572B-21</t>
        </is>
      </c>
    </row>
    <row r="10"/>
    <row r="11">
      <c r="D11" s="29" t="inlineStr">
        <is>
          <t>Total estimado (con precio):</t>
        </is>
      </c>
      <c r="E11" s="30">
        <f>SUM(E5:E9)</f>
        <v/>
      </c>
    </row>
  </sheetData>
  <autoFilter ref="A4:H9"/>
  <mergeCells count="1">
    <mergeCell ref="A1:H1"/>
  </mergeCells>
  <hyperlinks>
    <hyperlink xmlns:r="http://schemas.openxmlformats.org/officeDocument/2006/relationships" ref="G5" r:id="rId1"/>
    <hyperlink xmlns:r="http://schemas.openxmlformats.org/officeDocument/2006/relationships" ref="H5" r:id="rId2"/>
    <hyperlink xmlns:r="http://schemas.openxmlformats.org/officeDocument/2006/relationships" ref="G6" r:id="rId3"/>
    <hyperlink xmlns:r="http://schemas.openxmlformats.org/officeDocument/2006/relationships" ref="H6" r:id="rId4"/>
    <hyperlink xmlns:r="http://schemas.openxmlformats.org/officeDocument/2006/relationships" ref="G7" r:id="rId5"/>
    <hyperlink xmlns:r="http://schemas.openxmlformats.org/officeDocument/2006/relationships" ref="H7" r:id="rId6"/>
    <hyperlink xmlns:r="http://schemas.openxmlformats.org/officeDocument/2006/relationships" ref="G8" r:id="rId7"/>
    <hyperlink xmlns:r="http://schemas.openxmlformats.org/officeDocument/2006/relationships" ref="H8" r:id="rId8"/>
    <hyperlink xmlns:r="http://schemas.openxmlformats.org/officeDocument/2006/relationships" ref="G9" r:id="rId9"/>
    <hyperlink xmlns:r="http://schemas.openxmlformats.org/officeDocument/2006/relationships" ref="H9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2026-07-29T02:30:34Z</dcterms:created>
  <dcterms:modified xsi:type="dcterms:W3CDTF">2026-07-29T02:43:33Z</dcterms:modified>
</cp:coreProperties>
</file>